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DO\NADO_2022\Chequeo_Abr_23_2022\"/>
    </mc:Choice>
  </mc:AlternateContent>
  <xr:revisionPtr revIDLastSave="0" documentId="13_ncr:1_{FEA3FC24-2E61-48DD-A2D7-EFF0F0C8D8DA}" xr6:coauthVersionLast="47" xr6:coauthVersionMax="47" xr10:uidLastSave="{00000000-0000-0000-0000-000000000000}"/>
  <bookViews>
    <workbookView xWindow="-108" yWindow="-108" windowWidth="23256" windowHeight="12720" tabRatio="584" firstSheet="2" activeTab="2" xr2:uid="{00000000-000D-0000-FFFF-FFFF00000000}"/>
  </bookViews>
  <sheets>
    <sheet name="Datos" sheetId="145" state="hidden" r:id="rId1"/>
    <sheet name="Registro" sheetId="9" state="hidden" r:id="rId2"/>
    <sheet name="Parametros Iniciales" sheetId="1" r:id="rId3"/>
    <sheet name="Planilla" sheetId="249" r:id="rId4"/>
    <sheet name="PuntajesFinales" sheetId="230" r:id="rId5"/>
  </sheets>
  <functionGroups builtInGroupCount="19"/>
  <definedNames>
    <definedName name="CantJueces">'Parametros Iniciales'!$K$16</definedName>
    <definedName name="Grupo_escogido">Datos!$N$7</definedName>
    <definedName name="HeadLin1">Datos!$A$4</definedName>
    <definedName name="HeadLin2">Datos!$A$5</definedName>
    <definedName name="HeadLin3">Datos!$A$6</definedName>
    <definedName name="HeadLin4">Datos!$A$7</definedName>
    <definedName name="IniTotales">Planilla!$R$7</definedName>
    <definedName name="JuecesCalc">'Parametros Iniciales'!$J$17</definedName>
    <definedName name="JuecesDisponibles">Datos!$G$10</definedName>
    <definedName name="JuecesPanel">'Parametros Iniciales'!$J$16</definedName>
    <definedName name="JuecesPanel1">'Parametros Iniciales'!$I$20:$I$26</definedName>
    <definedName name="JuecesPanel2">'Parametros Iniciales'!$I$29:$I$35</definedName>
    <definedName name="Nombres">'Parametros Iniciales'!$C$6</definedName>
    <definedName name="Obligatoria1Cod">Datos!$R$10</definedName>
    <definedName name="Obligatoria1GD">Datos!$S$10</definedName>
    <definedName name="Obligatoria1Nom">Datos!$Q$10</definedName>
    <definedName name="Obligatoria2Cod">Datos!$R$11</definedName>
    <definedName name="Obligatoria2GD">Datos!$S$11</definedName>
    <definedName name="Obligatoria2Nom">Datos!$Q$11</definedName>
    <definedName name="ObligatoriaTipo1">Datos!$P$10</definedName>
    <definedName name="ObligatoriaTipo2">Datos!$P$11</definedName>
    <definedName name="Opcional1Cod">Datos!$R$12</definedName>
    <definedName name="Opcional1GD">Datos!$S$12</definedName>
    <definedName name="Opcional1Nom">Datos!$Q$12</definedName>
    <definedName name="Opcional2Cod">Datos!$R$13</definedName>
    <definedName name="Opcional2GD">Datos!$S$13</definedName>
    <definedName name="Opcional2Nom">Datos!$Q$13</definedName>
    <definedName name="OpcionalTipo1">Datos!$P$12</definedName>
    <definedName name="OpcionalTipo2">Datos!$P$13</definedName>
    <definedName name="OrdenSalida">'Parametros Iniciales'!$B$6</definedName>
    <definedName name="RegistroImpar" comment="Formato para los registros pares.">Registro!$B$12:$S$16</definedName>
    <definedName name="RegistroNoCompite" comment="Formato para los registros de  quienes no compiten">Registro!$B$19:$S$23</definedName>
    <definedName name="RegistroPar" comment="Formato para los registros impares">Registro!$B$5:$S$9</definedName>
    <definedName name="TituloCategoria">Datos!$A$1</definedName>
    <definedName name="_xlnm.Print_Titles" localSheetId="3">Planilla!$1:$7</definedName>
    <definedName name="TotalGD">'Parametros Iniciales'!$N$7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4" i="249" l="1"/>
  <c r="E54" i="230" l="1"/>
  <c r="E53" i="230"/>
  <c r="K195" i="249"/>
  <c r="J195" i="249"/>
  <c r="D195" i="249"/>
  <c r="K194" i="249"/>
  <c r="J194" i="249"/>
  <c r="D194" i="249"/>
  <c r="K193" i="249"/>
  <c r="J193" i="249"/>
  <c r="D193" i="249"/>
  <c r="K192" i="249"/>
  <c r="J192" i="249"/>
  <c r="D192" i="249"/>
  <c r="K191" i="249"/>
  <c r="J191" i="249"/>
  <c r="D191" i="249"/>
  <c r="K190" i="249"/>
  <c r="J190" i="249"/>
  <c r="D190" i="249"/>
  <c r="K189" i="249"/>
  <c r="J189" i="249"/>
  <c r="D189" i="249"/>
  <c r="K188" i="249"/>
  <c r="J188" i="249"/>
  <c r="D188" i="249"/>
  <c r="K187" i="249"/>
  <c r="J187" i="249"/>
  <c r="D187" i="249"/>
  <c r="K186" i="249"/>
  <c r="J186" i="249"/>
  <c r="D186" i="249"/>
  <c r="K185" i="249"/>
  <c r="J185" i="249"/>
  <c r="D185" i="249"/>
  <c r="K184" i="249"/>
  <c r="J184" i="249"/>
  <c r="D184" i="249"/>
  <c r="K183" i="249"/>
  <c r="J183" i="249"/>
  <c r="D183" i="249"/>
  <c r="K182" i="249"/>
  <c r="J182" i="249"/>
  <c r="D182" i="249"/>
  <c r="K181" i="249"/>
  <c r="J181" i="249"/>
  <c r="L181" i="249" s="1"/>
  <c r="D181" i="249"/>
  <c r="K180" i="249"/>
  <c r="J180" i="249"/>
  <c r="D180" i="249"/>
  <c r="K179" i="249"/>
  <c r="J179" i="249"/>
  <c r="D179" i="249"/>
  <c r="K178" i="249"/>
  <c r="L178" i="249" s="1"/>
  <c r="J178" i="249"/>
  <c r="D178" i="249"/>
  <c r="K177" i="249"/>
  <c r="J177" i="249"/>
  <c r="M177" i="249"/>
  <c r="D177" i="249"/>
  <c r="K176" i="249"/>
  <c r="J176" i="249"/>
  <c r="D176" i="249"/>
  <c r="K175" i="249"/>
  <c r="J175" i="249"/>
  <c r="D175" i="249"/>
  <c r="K174" i="249"/>
  <c r="J174" i="249"/>
  <c r="D174" i="249"/>
  <c r="K173" i="249"/>
  <c r="J173" i="249"/>
  <c r="D173" i="249"/>
  <c r="K172" i="249"/>
  <c r="J172" i="249"/>
  <c r="D172" i="249"/>
  <c r="K171" i="249"/>
  <c r="J171" i="249"/>
  <c r="D171" i="249"/>
  <c r="K170" i="249"/>
  <c r="J170" i="249"/>
  <c r="D170" i="249"/>
  <c r="K169" i="249"/>
  <c r="J169" i="249"/>
  <c r="M169" i="249" s="1"/>
  <c r="D169" i="249"/>
  <c r="K168" i="249"/>
  <c r="J168" i="249"/>
  <c r="D168" i="249"/>
  <c r="K167" i="249"/>
  <c r="J167" i="249"/>
  <c r="D167" i="249"/>
  <c r="M166" i="249"/>
  <c r="K166" i="249"/>
  <c r="J166" i="249"/>
  <c r="L166" i="249" s="1"/>
  <c r="D166" i="249"/>
  <c r="K165" i="249"/>
  <c r="J165" i="249"/>
  <c r="D165" i="249"/>
  <c r="K164" i="249"/>
  <c r="J164" i="249"/>
  <c r="D164" i="249"/>
  <c r="K163" i="249"/>
  <c r="J163" i="249"/>
  <c r="D163" i="249"/>
  <c r="K162" i="249"/>
  <c r="J162" i="249"/>
  <c r="L162" i="249" s="1"/>
  <c r="D162" i="249"/>
  <c r="K161" i="249"/>
  <c r="J161" i="249"/>
  <c r="D161" i="249"/>
  <c r="K160" i="249"/>
  <c r="J160" i="249"/>
  <c r="D160" i="249"/>
  <c r="K159" i="249"/>
  <c r="J159" i="249"/>
  <c r="D159" i="249"/>
  <c r="K158" i="249"/>
  <c r="J158" i="249"/>
  <c r="D158" i="249"/>
  <c r="K157" i="249"/>
  <c r="J157" i="249"/>
  <c r="D157" i="249"/>
  <c r="K156" i="249"/>
  <c r="J156" i="249"/>
  <c r="D156" i="249"/>
  <c r="K155" i="249"/>
  <c r="J155" i="249"/>
  <c r="D155" i="249"/>
  <c r="K154" i="249"/>
  <c r="J154" i="249"/>
  <c r="D154" i="249"/>
  <c r="K153" i="249"/>
  <c r="J153" i="249"/>
  <c r="D153" i="249"/>
  <c r="K152" i="249"/>
  <c r="J152" i="249"/>
  <c r="D152" i="249"/>
  <c r="K151" i="249"/>
  <c r="J151" i="249"/>
  <c r="I151" i="249"/>
  <c r="H151" i="249"/>
  <c r="G151" i="249"/>
  <c r="O151" i="249" s="1"/>
  <c r="D151" i="249"/>
  <c r="L150" i="249"/>
  <c r="K150" i="249"/>
  <c r="J150" i="249"/>
  <c r="I150" i="249"/>
  <c r="H150" i="249"/>
  <c r="M150" i="249" s="1"/>
  <c r="G150" i="249"/>
  <c r="O150" i="249" s="1"/>
  <c r="D150" i="249"/>
  <c r="K149" i="249"/>
  <c r="J149" i="249"/>
  <c r="D149" i="249"/>
  <c r="K148" i="249"/>
  <c r="J148" i="249"/>
  <c r="D148" i="249"/>
  <c r="K147" i="249"/>
  <c r="J147" i="249"/>
  <c r="D147" i="249"/>
  <c r="K146" i="249"/>
  <c r="J146" i="249"/>
  <c r="D146" i="249"/>
  <c r="K145" i="249"/>
  <c r="J145" i="249"/>
  <c r="D145" i="249"/>
  <c r="K144" i="249"/>
  <c r="J144" i="249"/>
  <c r="D144" i="249"/>
  <c r="K143" i="249"/>
  <c r="J143" i="249"/>
  <c r="D143" i="249"/>
  <c r="K142" i="249"/>
  <c r="J142" i="249"/>
  <c r="D142" i="249"/>
  <c r="K141" i="249"/>
  <c r="J141" i="249"/>
  <c r="L141" i="249" s="1"/>
  <c r="D141" i="249"/>
  <c r="K140" i="249"/>
  <c r="J140" i="249"/>
  <c r="D140" i="249"/>
  <c r="K139" i="249"/>
  <c r="J139" i="249"/>
  <c r="D139" i="249"/>
  <c r="K138" i="249"/>
  <c r="J138" i="249"/>
  <c r="D138" i="249"/>
  <c r="K137" i="249"/>
  <c r="J137" i="249"/>
  <c r="D137" i="249"/>
  <c r="K136" i="249"/>
  <c r="J136" i="249"/>
  <c r="D136" i="249"/>
  <c r="K135" i="249"/>
  <c r="J135" i="249"/>
  <c r="D135" i="249"/>
  <c r="K134" i="249"/>
  <c r="J134" i="249"/>
  <c r="D134" i="249"/>
  <c r="K133" i="249"/>
  <c r="J133" i="249"/>
  <c r="D133" i="249"/>
  <c r="K132" i="249"/>
  <c r="J132" i="249"/>
  <c r="D132" i="249"/>
  <c r="K131" i="249"/>
  <c r="J131" i="249"/>
  <c r="D131" i="249"/>
  <c r="K130" i="249"/>
  <c r="J130" i="249"/>
  <c r="D130" i="249"/>
  <c r="K129" i="249"/>
  <c r="J129" i="249"/>
  <c r="D129" i="249"/>
  <c r="K128" i="249"/>
  <c r="J128" i="249"/>
  <c r="D128" i="249"/>
  <c r="K127" i="249"/>
  <c r="J127" i="249"/>
  <c r="D127" i="249"/>
  <c r="K126" i="249"/>
  <c r="L126" i="249" s="1"/>
  <c r="J126" i="249"/>
  <c r="D126" i="249"/>
  <c r="K125" i="249"/>
  <c r="J125" i="249"/>
  <c r="D125" i="249"/>
  <c r="K124" i="249"/>
  <c r="J124" i="249"/>
  <c r="D124" i="249"/>
  <c r="K123" i="249"/>
  <c r="J123" i="249"/>
  <c r="D123" i="249"/>
  <c r="K122" i="249"/>
  <c r="J122" i="249"/>
  <c r="D122" i="249"/>
  <c r="K121" i="249"/>
  <c r="J121" i="249"/>
  <c r="D121" i="249"/>
  <c r="K120" i="249"/>
  <c r="J120" i="249"/>
  <c r="D120" i="249"/>
  <c r="K119" i="249"/>
  <c r="J119" i="249"/>
  <c r="D119" i="249"/>
  <c r="K118" i="249"/>
  <c r="J118" i="249"/>
  <c r="D118" i="249"/>
  <c r="K117" i="249"/>
  <c r="J117" i="249"/>
  <c r="D117" i="249"/>
  <c r="K116" i="249"/>
  <c r="J116" i="249"/>
  <c r="D116" i="249"/>
  <c r="K115" i="249"/>
  <c r="J115" i="249"/>
  <c r="D115" i="249"/>
  <c r="K114" i="249"/>
  <c r="J114" i="249"/>
  <c r="D114" i="249"/>
  <c r="K113" i="249"/>
  <c r="J113" i="249"/>
  <c r="M113" i="249"/>
  <c r="D113" i="249"/>
  <c r="K112" i="249"/>
  <c r="J112" i="249"/>
  <c r="D112" i="249"/>
  <c r="K111" i="249"/>
  <c r="J111" i="249"/>
  <c r="D111" i="249"/>
  <c r="K110" i="249"/>
  <c r="J110" i="249"/>
  <c r="D110" i="249"/>
  <c r="K109" i="249"/>
  <c r="J109" i="249"/>
  <c r="D109" i="249"/>
  <c r="K108" i="249"/>
  <c r="J108" i="249"/>
  <c r="D108" i="249"/>
  <c r="K107" i="249"/>
  <c r="J107" i="249"/>
  <c r="D107" i="249"/>
  <c r="K106" i="249"/>
  <c r="J106" i="249"/>
  <c r="M106" i="249" s="1"/>
  <c r="D106" i="249"/>
  <c r="K105" i="249"/>
  <c r="J105" i="249"/>
  <c r="L105" i="249" s="1"/>
  <c r="D105" i="249"/>
  <c r="K104" i="249"/>
  <c r="J104" i="249"/>
  <c r="D104" i="249"/>
  <c r="K103" i="249"/>
  <c r="J103" i="249"/>
  <c r="D103" i="249"/>
  <c r="K102" i="249"/>
  <c r="J102" i="249"/>
  <c r="D102" i="249"/>
  <c r="K101" i="249"/>
  <c r="J101" i="249"/>
  <c r="D101" i="249"/>
  <c r="K100" i="249"/>
  <c r="J100" i="249"/>
  <c r="D100" i="249"/>
  <c r="K99" i="249"/>
  <c r="J99" i="249"/>
  <c r="D99" i="249"/>
  <c r="K98" i="249"/>
  <c r="J98" i="249"/>
  <c r="D98" i="249"/>
  <c r="K97" i="249"/>
  <c r="J97" i="249"/>
  <c r="D97" i="249"/>
  <c r="K96" i="249"/>
  <c r="J96" i="249"/>
  <c r="D96" i="249"/>
  <c r="K95" i="249"/>
  <c r="J95" i="249"/>
  <c r="D95" i="249"/>
  <c r="K94" i="249"/>
  <c r="J94" i="249"/>
  <c r="L94" i="249"/>
  <c r="D94" i="249"/>
  <c r="K93" i="249"/>
  <c r="M93" i="249" s="1"/>
  <c r="J93" i="249"/>
  <c r="D93" i="249"/>
  <c r="K92" i="249"/>
  <c r="J92" i="249"/>
  <c r="D92" i="249"/>
  <c r="K91" i="249"/>
  <c r="J91" i="249"/>
  <c r="D91" i="249"/>
  <c r="K90" i="249"/>
  <c r="J90" i="249"/>
  <c r="D90" i="249"/>
  <c r="K89" i="249"/>
  <c r="J89" i="249"/>
  <c r="D89" i="249"/>
  <c r="K88" i="249"/>
  <c r="J88" i="249"/>
  <c r="D88" i="249"/>
  <c r="N87" i="249"/>
  <c r="K87" i="249"/>
  <c r="J87" i="249"/>
  <c r="I87" i="249"/>
  <c r="H87" i="249"/>
  <c r="L87" i="249" s="1"/>
  <c r="G87" i="249"/>
  <c r="O87" i="249" s="1"/>
  <c r="D87" i="249"/>
  <c r="K86" i="249"/>
  <c r="J86" i="249"/>
  <c r="I86" i="249"/>
  <c r="H86" i="249"/>
  <c r="M86" i="249" s="1"/>
  <c r="G86" i="249"/>
  <c r="O86" i="249" s="1"/>
  <c r="D86" i="249"/>
  <c r="K85" i="249"/>
  <c r="J85" i="249"/>
  <c r="D85" i="249"/>
  <c r="K84" i="249"/>
  <c r="J84" i="249"/>
  <c r="M84" i="249"/>
  <c r="D84" i="249"/>
  <c r="K83" i="249"/>
  <c r="J83" i="249"/>
  <c r="D83" i="249"/>
  <c r="K82" i="249"/>
  <c r="J82" i="249"/>
  <c r="D82" i="249"/>
  <c r="K81" i="249"/>
  <c r="J81" i="249"/>
  <c r="D81" i="249"/>
  <c r="K80" i="249"/>
  <c r="J80" i="249"/>
  <c r="D80" i="249"/>
  <c r="K79" i="249"/>
  <c r="J79" i="249"/>
  <c r="D79" i="249"/>
  <c r="K78" i="249"/>
  <c r="J78" i="249"/>
  <c r="D78" i="249"/>
  <c r="K77" i="249"/>
  <c r="J77" i="249"/>
  <c r="D77" i="249"/>
  <c r="K76" i="249"/>
  <c r="J76" i="249"/>
  <c r="D76" i="249"/>
  <c r="K75" i="249"/>
  <c r="J75" i="249"/>
  <c r="D75" i="249"/>
  <c r="K74" i="249"/>
  <c r="J74" i="249"/>
  <c r="D74" i="249"/>
  <c r="K73" i="249"/>
  <c r="J73" i="249"/>
  <c r="D73" i="249"/>
  <c r="K72" i="249"/>
  <c r="J72" i="249"/>
  <c r="D72" i="249"/>
  <c r="K71" i="249"/>
  <c r="J71" i="249"/>
  <c r="D71" i="249"/>
  <c r="K70" i="249"/>
  <c r="J70" i="249"/>
  <c r="D70" i="249"/>
  <c r="K69" i="249"/>
  <c r="L69" i="249" s="1"/>
  <c r="J69" i="249"/>
  <c r="D69" i="249"/>
  <c r="K68" i="249"/>
  <c r="J68" i="249"/>
  <c r="D68" i="249"/>
  <c r="K67" i="249"/>
  <c r="J67" i="249"/>
  <c r="D67" i="249"/>
  <c r="K66" i="249"/>
  <c r="J66" i="249"/>
  <c r="D66" i="249"/>
  <c r="K65" i="249"/>
  <c r="J65" i="249"/>
  <c r="M65" i="249" s="1"/>
  <c r="D65" i="249"/>
  <c r="K64" i="249"/>
  <c r="J64" i="249"/>
  <c r="D64" i="249"/>
  <c r="K63" i="249"/>
  <c r="J63" i="249"/>
  <c r="D63" i="249"/>
  <c r="K62" i="249"/>
  <c r="J62" i="249"/>
  <c r="D62" i="249"/>
  <c r="K61" i="249"/>
  <c r="J61" i="249"/>
  <c r="D61" i="249"/>
  <c r="K60" i="249"/>
  <c r="M60" i="249" s="1"/>
  <c r="J60" i="249"/>
  <c r="D60" i="249"/>
  <c r="K59" i="249"/>
  <c r="J59" i="249"/>
  <c r="D59" i="249"/>
  <c r="K58" i="249"/>
  <c r="J58" i="249"/>
  <c r="D58" i="249"/>
  <c r="K57" i="249"/>
  <c r="J57" i="249"/>
  <c r="D57" i="249"/>
  <c r="K56" i="249"/>
  <c r="J56" i="249"/>
  <c r="D56" i="249"/>
  <c r="O55" i="249"/>
  <c r="N55" i="249"/>
  <c r="M55" i="249"/>
  <c r="L55" i="249"/>
  <c r="O54" i="249"/>
  <c r="N54" i="249"/>
  <c r="M54" i="249"/>
  <c r="L54" i="249"/>
  <c r="O53" i="249"/>
  <c r="N53" i="249"/>
  <c r="M53" i="249"/>
  <c r="L53" i="249"/>
  <c r="Q52" i="249"/>
  <c r="O52" i="249"/>
  <c r="N52" i="249"/>
  <c r="M52" i="249"/>
  <c r="L52" i="249"/>
  <c r="K51" i="249"/>
  <c r="J51" i="249"/>
  <c r="D51" i="249"/>
  <c r="K50" i="249"/>
  <c r="J50" i="249"/>
  <c r="D50" i="249"/>
  <c r="K49" i="249"/>
  <c r="J49" i="249"/>
  <c r="D49" i="249"/>
  <c r="K48" i="249"/>
  <c r="J48" i="249"/>
  <c r="D48" i="249"/>
  <c r="K47" i="249"/>
  <c r="J47" i="249"/>
  <c r="D47" i="249"/>
  <c r="K46" i="249"/>
  <c r="J46" i="249"/>
  <c r="D46" i="249"/>
  <c r="K45" i="249"/>
  <c r="J45" i="249"/>
  <c r="M45" i="249" s="1"/>
  <c r="D45" i="249"/>
  <c r="K44" i="249"/>
  <c r="J44" i="249"/>
  <c r="D44" i="249"/>
  <c r="K43" i="249"/>
  <c r="J43" i="249"/>
  <c r="D43" i="249"/>
  <c r="K42" i="249"/>
  <c r="J42" i="249"/>
  <c r="D42" i="249"/>
  <c r="K41" i="249"/>
  <c r="J41" i="249"/>
  <c r="D41" i="249"/>
  <c r="K40" i="249"/>
  <c r="J40" i="249"/>
  <c r="D40" i="249"/>
  <c r="K39" i="249"/>
  <c r="J39" i="249"/>
  <c r="D39" i="249"/>
  <c r="K38" i="249"/>
  <c r="J38" i="249"/>
  <c r="D38" i="249"/>
  <c r="K37" i="249"/>
  <c r="J37" i="249"/>
  <c r="M37" i="249" s="1"/>
  <c r="D37" i="249"/>
  <c r="K36" i="249"/>
  <c r="J36" i="249"/>
  <c r="D36" i="249"/>
  <c r="K35" i="249"/>
  <c r="J35" i="249"/>
  <c r="D35" i="249"/>
  <c r="K34" i="249"/>
  <c r="J34" i="249"/>
  <c r="D34" i="249"/>
  <c r="K33" i="249"/>
  <c r="J33" i="249"/>
  <c r="D33" i="249"/>
  <c r="K32" i="249"/>
  <c r="J32" i="249"/>
  <c r="D32" i="249"/>
  <c r="K31" i="249"/>
  <c r="J31" i="249"/>
  <c r="D31" i="249"/>
  <c r="K30" i="249"/>
  <c r="J30" i="249"/>
  <c r="D30" i="249"/>
  <c r="K29" i="249"/>
  <c r="J29" i="249"/>
  <c r="D29" i="249"/>
  <c r="K28" i="249"/>
  <c r="J28" i="249"/>
  <c r="D28" i="249"/>
  <c r="K27" i="249"/>
  <c r="J27" i="249"/>
  <c r="D27" i="249"/>
  <c r="K26" i="249"/>
  <c r="J26" i="249"/>
  <c r="D26" i="249"/>
  <c r="K25" i="249"/>
  <c r="J25" i="249"/>
  <c r="D25" i="249"/>
  <c r="K24" i="249"/>
  <c r="J24" i="249"/>
  <c r="D24" i="249"/>
  <c r="K23" i="249"/>
  <c r="J23" i="249"/>
  <c r="I23" i="249"/>
  <c r="H23" i="249"/>
  <c r="G23" i="249"/>
  <c r="O23" i="249" s="1"/>
  <c r="D23" i="249"/>
  <c r="K22" i="249"/>
  <c r="J22" i="249"/>
  <c r="M22" i="249" s="1"/>
  <c r="I22" i="249"/>
  <c r="H22" i="249"/>
  <c r="G22" i="249"/>
  <c r="O22" i="249" s="1"/>
  <c r="D22" i="249"/>
  <c r="K21" i="249"/>
  <c r="J21" i="249"/>
  <c r="D21" i="249"/>
  <c r="K20" i="249"/>
  <c r="J20" i="249"/>
  <c r="D20" i="249"/>
  <c r="K19" i="249"/>
  <c r="J19" i="249"/>
  <c r="D19" i="249"/>
  <c r="K18" i="249"/>
  <c r="J18" i="249"/>
  <c r="D18" i="249"/>
  <c r="K17" i="249"/>
  <c r="J17" i="249"/>
  <c r="D17" i="249"/>
  <c r="K16" i="249"/>
  <c r="J16" i="249"/>
  <c r="D16" i="249"/>
  <c r="O15" i="249"/>
  <c r="N15" i="249"/>
  <c r="M15" i="249"/>
  <c r="L15" i="249"/>
  <c r="O14" i="249"/>
  <c r="N14" i="249"/>
  <c r="M14" i="249"/>
  <c r="L14" i="249"/>
  <c r="O13" i="249"/>
  <c r="N13" i="249"/>
  <c r="M13" i="249"/>
  <c r="L13" i="249"/>
  <c r="Q12" i="249"/>
  <c r="O12" i="249"/>
  <c r="N12" i="249"/>
  <c r="M12" i="249"/>
  <c r="L12" i="249"/>
  <c r="K11" i="249"/>
  <c r="J11" i="249"/>
  <c r="D11" i="249"/>
  <c r="K10" i="249"/>
  <c r="J10" i="249"/>
  <c r="D10" i="249"/>
  <c r="K9" i="249"/>
  <c r="J9" i="249"/>
  <c r="D9" i="249"/>
  <c r="K8" i="249"/>
  <c r="J8" i="249"/>
  <c r="D8" i="249"/>
  <c r="M127" i="249" l="1"/>
  <c r="M111" i="249"/>
  <c r="L95" i="249"/>
  <c r="L75" i="249"/>
  <c r="M67" i="249"/>
  <c r="M51" i="249"/>
  <c r="M31" i="249"/>
  <c r="L19" i="249"/>
  <c r="N19" i="249" s="1"/>
  <c r="O19" i="249" s="1"/>
  <c r="L194" i="249"/>
  <c r="N194" i="249" s="1"/>
  <c r="O194" i="249" s="1"/>
  <c r="M194" i="249"/>
  <c r="L190" i="249"/>
  <c r="M190" i="249"/>
  <c r="M186" i="249"/>
  <c r="L182" i="249"/>
  <c r="M182" i="249"/>
  <c r="N166" i="249"/>
  <c r="O166" i="249" s="1"/>
  <c r="M162" i="249"/>
  <c r="L158" i="249"/>
  <c r="N158" i="249" s="1"/>
  <c r="O158" i="249" s="1"/>
  <c r="M158" i="249"/>
  <c r="L146" i="249"/>
  <c r="M138" i="249"/>
  <c r="L130" i="249"/>
  <c r="M130" i="249"/>
  <c r="M122" i="249"/>
  <c r="M118" i="249"/>
  <c r="L114" i="249"/>
  <c r="L110" i="249"/>
  <c r="N110" i="249" s="1"/>
  <c r="O110" i="249" s="1"/>
  <c r="L106" i="249"/>
  <c r="N106" i="249" s="1"/>
  <c r="O106" i="249" s="1"/>
  <c r="L102" i="249"/>
  <c r="N102" i="249" s="1"/>
  <c r="O102" i="249" s="1"/>
  <c r="M98" i="249"/>
  <c r="M94" i="249"/>
  <c r="N94" i="249" s="1"/>
  <c r="O94" i="249" s="1"/>
  <c r="L90" i="249"/>
  <c r="M78" i="249"/>
  <c r="L78" i="249"/>
  <c r="N78" i="249" s="1"/>
  <c r="O78" i="249" s="1"/>
  <c r="L74" i="249"/>
  <c r="M70" i="249"/>
  <c r="M62" i="249"/>
  <c r="L46" i="249"/>
  <c r="M42" i="249"/>
  <c r="M38" i="249"/>
  <c r="N38" i="249" s="1"/>
  <c r="O38" i="249" s="1"/>
  <c r="M34" i="249"/>
  <c r="M26" i="249"/>
  <c r="L26" i="249"/>
  <c r="L18" i="249"/>
  <c r="M10" i="249"/>
  <c r="L185" i="249"/>
  <c r="M185" i="249"/>
  <c r="N185" i="249" s="1"/>
  <c r="O185" i="249" s="1"/>
  <c r="M181" i="249"/>
  <c r="N181" i="249" s="1"/>
  <c r="O181" i="249" s="1"/>
  <c r="M173" i="249"/>
  <c r="L173" i="249"/>
  <c r="L169" i="249"/>
  <c r="N169" i="249" s="1"/>
  <c r="O169" i="249" s="1"/>
  <c r="L165" i="249"/>
  <c r="M161" i="249"/>
  <c r="M157" i="249"/>
  <c r="M153" i="249"/>
  <c r="L153" i="249"/>
  <c r="M145" i="249"/>
  <c r="L145" i="249"/>
  <c r="L137" i="249"/>
  <c r="M133" i="249"/>
  <c r="L133" i="249"/>
  <c r="L129" i="249"/>
  <c r="M125" i="249"/>
  <c r="L121" i="249"/>
  <c r="L117" i="249"/>
  <c r="M117" i="249"/>
  <c r="L113" i="249"/>
  <c r="N113" i="249" s="1"/>
  <c r="O113" i="249" s="1"/>
  <c r="M109" i="249"/>
  <c r="M105" i="249"/>
  <c r="N105" i="249" s="1"/>
  <c r="O105" i="249" s="1"/>
  <c r="M101" i="249"/>
  <c r="L101" i="249"/>
  <c r="N101" i="249" s="1"/>
  <c r="O101" i="249" s="1"/>
  <c r="L97" i="249"/>
  <c r="L93" i="249"/>
  <c r="N93" i="249" s="1"/>
  <c r="O93" i="249" s="1"/>
  <c r="L89" i="249"/>
  <c r="L81" i="249"/>
  <c r="L77" i="249"/>
  <c r="M73" i="249"/>
  <c r="M69" i="249"/>
  <c r="L65" i="249"/>
  <c r="L61" i="249"/>
  <c r="L57" i="249"/>
  <c r="L49" i="249"/>
  <c r="L45" i="249"/>
  <c r="N45" i="249" s="1"/>
  <c r="O45" i="249" s="1"/>
  <c r="L41" i="249"/>
  <c r="L33" i="249"/>
  <c r="L21" i="249"/>
  <c r="L17" i="249"/>
  <c r="L9" i="249"/>
  <c r="M124" i="249"/>
  <c r="M108" i="249"/>
  <c r="M80" i="249"/>
  <c r="M64" i="249"/>
  <c r="M56" i="249"/>
  <c r="M48" i="249"/>
  <c r="L32" i="249"/>
  <c r="M20" i="249"/>
  <c r="L193" i="249"/>
  <c r="M193" i="249"/>
  <c r="L192" i="249"/>
  <c r="N192" i="249" s="1"/>
  <c r="O192" i="249" s="1"/>
  <c r="L195" i="249"/>
  <c r="M192" i="249"/>
  <c r="M195" i="249"/>
  <c r="N195" i="249" s="1"/>
  <c r="O195" i="249" s="1"/>
  <c r="L189" i="249"/>
  <c r="M189" i="249"/>
  <c r="N189" i="249" s="1"/>
  <c r="O189" i="249" s="1"/>
  <c r="L188" i="249"/>
  <c r="N188" i="249" s="1"/>
  <c r="O188" i="249" s="1"/>
  <c r="N190" i="249"/>
  <c r="O190" i="249" s="1"/>
  <c r="L191" i="249"/>
  <c r="M188" i="249"/>
  <c r="M191" i="249"/>
  <c r="N191" i="249" s="1"/>
  <c r="O191" i="249" s="1"/>
  <c r="L186" i="249"/>
  <c r="N186" i="249" s="1"/>
  <c r="O186" i="249" s="1"/>
  <c r="L184" i="249"/>
  <c r="L187" i="249"/>
  <c r="M184" i="249"/>
  <c r="N184" i="249" s="1"/>
  <c r="O184" i="249" s="1"/>
  <c r="M187" i="249"/>
  <c r="L180" i="249"/>
  <c r="N180" i="249" s="1"/>
  <c r="O180" i="249" s="1"/>
  <c r="L183" i="249"/>
  <c r="M180" i="249"/>
  <c r="M183" i="249"/>
  <c r="L177" i="249"/>
  <c r="N177" i="249" s="1"/>
  <c r="O177" i="249" s="1"/>
  <c r="M178" i="249"/>
  <c r="N178" i="249" s="1"/>
  <c r="O178" i="249" s="1"/>
  <c r="L176" i="249"/>
  <c r="N176" i="249" s="1"/>
  <c r="O176" i="249" s="1"/>
  <c r="L179" i="249"/>
  <c r="M176" i="249"/>
  <c r="M179" i="249"/>
  <c r="N179" i="249" s="1"/>
  <c r="O179" i="249" s="1"/>
  <c r="L174" i="249"/>
  <c r="M174" i="249"/>
  <c r="L172" i="249"/>
  <c r="N172" i="249" s="1"/>
  <c r="O172" i="249" s="1"/>
  <c r="L175" i="249"/>
  <c r="N175" i="249" s="1"/>
  <c r="O175" i="249" s="1"/>
  <c r="M172" i="249"/>
  <c r="M175" i="249"/>
  <c r="L170" i="249"/>
  <c r="M170" i="249"/>
  <c r="L168" i="249"/>
  <c r="N168" i="249" s="1"/>
  <c r="O168" i="249" s="1"/>
  <c r="L171" i="249"/>
  <c r="M168" i="249"/>
  <c r="M171" i="249"/>
  <c r="M165" i="249"/>
  <c r="L164" i="249"/>
  <c r="L167" i="249"/>
  <c r="M164" i="249"/>
  <c r="M167" i="249"/>
  <c r="L161" i="249"/>
  <c r="N161" i="249" s="1"/>
  <c r="O161" i="249" s="1"/>
  <c r="L160" i="249"/>
  <c r="N162" i="249"/>
  <c r="O162" i="249" s="1"/>
  <c r="L163" i="249"/>
  <c r="M160" i="249"/>
  <c r="M163" i="249"/>
  <c r="L157" i="249"/>
  <c r="N157" i="249" s="1"/>
  <c r="O157" i="249" s="1"/>
  <c r="L156" i="249"/>
  <c r="L159" i="249"/>
  <c r="N159" i="249" s="1"/>
  <c r="O159" i="249" s="1"/>
  <c r="M156" i="249"/>
  <c r="M159" i="249"/>
  <c r="L154" i="249"/>
  <c r="N154" i="249" s="1"/>
  <c r="O154" i="249" s="1"/>
  <c r="M154" i="249"/>
  <c r="L152" i="249"/>
  <c r="L155" i="249"/>
  <c r="N155" i="249" s="1"/>
  <c r="O155" i="249" s="1"/>
  <c r="M152" i="249"/>
  <c r="M155" i="249"/>
  <c r="L149" i="249"/>
  <c r="N149" i="249" s="1"/>
  <c r="O149" i="249" s="1"/>
  <c r="M149" i="249"/>
  <c r="L148" i="249"/>
  <c r="N150" i="249"/>
  <c r="L151" i="249"/>
  <c r="M148" i="249"/>
  <c r="M151" i="249"/>
  <c r="N151" i="249"/>
  <c r="M146" i="249"/>
  <c r="L144" i="249"/>
  <c r="N144" i="249" s="1"/>
  <c r="O144" i="249" s="1"/>
  <c r="L147" i="249"/>
  <c r="M144" i="249"/>
  <c r="M147" i="249"/>
  <c r="N147" i="249" s="1"/>
  <c r="O147" i="249" s="1"/>
  <c r="M141" i="249"/>
  <c r="N141" i="249"/>
  <c r="O141" i="249" s="1"/>
  <c r="L142" i="249"/>
  <c r="M142" i="249"/>
  <c r="L140" i="249"/>
  <c r="N140" i="249" s="1"/>
  <c r="O140" i="249" s="1"/>
  <c r="L143" i="249"/>
  <c r="M140" i="249"/>
  <c r="M143" i="249"/>
  <c r="N143" i="249" s="1"/>
  <c r="O143" i="249" s="1"/>
  <c r="M137" i="249"/>
  <c r="N137" i="249"/>
  <c r="O137" i="249" s="1"/>
  <c r="L138" i="249"/>
  <c r="N138" i="249" s="1"/>
  <c r="O138" i="249" s="1"/>
  <c r="L136" i="249"/>
  <c r="L139" i="249"/>
  <c r="M136" i="249"/>
  <c r="M139" i="249"/>
  <c r="N139" i="249" s="1"/>
  <c r="O139" i="249" s="1"/>
  <c r="L134" i="249"/>
  <c r="M134" i="249"/>
  <c r="L132" i="249"/>
  <c r="L135" i="249"/>
  <c r="M132" i="249"/>
  <c r="M135" i="249"/>
  <c r="N135" i="249" s="1"/>
  <c r="O135" i="249" s="1"/>
  <c r="M129" i="249"/>
  <c r="N129" i="249"/>
  <c r="O129" i="249" s="1"/>
  <c r="L128" i="249"/>
  <c r="L131" i="249"/>
  <c r="M128" i="249"/>
  <c r="M131" i="249"/>
  <c r="N131" i="249"/>
  <c r="O131" i="249" s="1"/>
  <c r="L125" i="249"/>
  <c r="N125" i="249" s="1"/>
  <c r="O125" i="249" s="1"/>
  <c r="M126" i="249"/>
  <c r="N126" i="249" s="1"/>
  <c r="O126" i="249" s="1"/>
  <c r="L124" i="249"/>
  <c r="L127" i="249"/>
  <c r="N127" i="249" s="1"/>
  <c r="O127" i="249" s="1"/>
  <c r="M121" i="249"/>
  <c r="N121" i="249" s="1"/>
  <c r="O121" i="249" s="1"/>
  <c r="L122" i="249"/>
  <c r="L120" i="249"/>
  <c r="N120" i="249" s="1"/>
  <c r="O120" i="249" s="1"/>
  <c r="L123" i="249"/>
  <c r="N123" i="249" s="1"/>
  <c r="O123" i="249" s="1"/>
  <c r="M120" i="249"/>
  <c r="M123" i="249"/>
  <c r="N117" i="249"/>
  <c r="O117" i="249" s="1"/>
  <c r="L118" i="249"/>
  <c r="N118" i="249" s="1"/>
  <c r="O118" i="249" s="1"/>
  <c r="L116" i="249"/>
  <c r="N116" i="249" s="1"/>
  <c r="O116" i="249" s="1"/>
  <c r="L119" i="249"/>
  <c r="N119" i="249" s="1"/>
  <c r="O119" i="249" s="1"/>
  <c r="M116" i="249"/>
  <c r="M119" i="249"/>
  <c r="M114" i="249"/>
  <c r="L112" i="249"/>
  <c r="L115" i="249"/>
  <c r="M112" i="249"/>
  <c r="M115" i="249"/>
  <c r="L109" i="249"/>
  <c r="N109" i="249" s="1"/>
  <c r="O109" i="249" s="1"/>
  <c r="M110" i="249"/>
  <c r="L108" i="249"/>
  <c r="L111" i="249"/>
  <c r="N111" i="249" s="1"/>
  <c r="O111" i="249" s="1"/>
  <c r="L104" i="249"/>
  <c r="L107" i="249"/>
  <c r="M104" i="249"/>
  <c r="M107" i="249"/>
  <c r="M102" i="249"/>
  <c r="L100" i="249"/>
  <c r="N100" i="249" s="1"/>
  <c r="O100" i="249" s="1"/>
  <c r="L103" i="249"/>
  <c r="M100" i="249"/>
  <c r="M103" i="249"/>
  <c r="M97" i="249"/>
  <c r="N97" i="249" s="1"/>
  <c r="O97" i="249" s="1"/>
  <c r="L98" i="249"/>
  <c r="N98" i="249" s="1"/>
  <c r="O98" i="249" s="1"/>
  <c r="L96" i="249"/>
  <c r="L99" i="249"/>
  <c r="N99" i="249" s="1"/>
  <c r="O99" i="249" s="1"/>
  <c r="M96" i="249"/>
  <c r="M99" i="249"/>
  <c r="L92" i="249"/>
  <c r="M92" i="249"/>
  <c r="M95" i="249"/>
  <c r="N95" i="249" s="1"/>
  <c r="O95" i="249" s="1"/>
  <c r="M89" i="249"/>
  <c r="N89" i="249" s="1"/>
  <c r="O89" i="249" s="1"/>
  <c r="M90" i="249"/>
  <c r="N90" i="249" s="1"/>
  <c r="O90" i="249" s="1"/>
  <c r="L88" i="249"/>
  <c r="L91" i="249"/>
  <c r="M88" i="249"/>
  <c r="M91" i="249"/>
  <c r="N91" i="249" s="1"/>
  <c r="O91" i="249" s="1"/>
  <c r="L85" i="249"/>
  <c r="M85" i="249"/>
  <c r="L86" i="249"/>
  <c r="L84" i="249"/>
  <c r="N84" i="249" s="1"/>
  <c r="O84" i="249" s="1"/>
  <c r="N86" i="249"/>
  <c r="M87" i="249"/>
  <c r="M81" i="249"/>
  <c r="L82" i="249"/>
  <c r="M82" i="249"/>
  <c r="N82" i="249" s="1"/>
  <c r="O82" i="249" s="1"/>
  <c r="L80" i="249"/>
  <c r="L83" i="249"/>
  <c r="M83" i="249"/>
  <c r="M77" i="249"/>
  <c r="L76" i="249"/>
  <c r="N76" i="249" s="1"/>
  <c r="O76" i="249" s="1"/>
  <c r="L79" i="249"/>
  <c r="M76" i="249"/>
  <c r="M79" i="249"/>
  <c r="L73" i="249"/>
  <c r="M74" i="249"/>
  <c r="N74" i="249" s="1"/>
  <c r="O74" i="249" s="1"/>
  <c r="L72" i="249"/>
  <c r="M72" i="249"/>
  <c r="M75" i="249"/>
  <c r="N69" i="249"/>
  <c r="O69" i="249" s="1"/>
  <c r="L70" i="249"/>
  <c r="N70" i="249" s="1"/>
  <c r="O70" i="249" s="1"/>
  <c r="L68" i="249"/>
  <c r="L71" i="249"/>
  <c r="N71" i="249" s="1"/>
  <c r="O71" i="249" s="1"/>
  <c r="M68" i="249"/>
  <c r="M71" i="249"/>
  <c r="N65" i="249"/>
  <c r="O65" i="249" s="1"/>
  <c r="L66" i="249"/>
  <c r="M66" i="249"/>
  <c r="L64" i="249"/>
  <c r="N64" i="249" s="1"/>
  <c r="O64" i="249" s="1"/>
  <c r="L67" i="249"/>
  <c r="M61" i="249"/>
  <c r="L62" i="249"/>
  <c r="L60" i="249"/>
  <c r="N60" i="249" s="1"/>
  <c r="O60" i="249" s="1"/>
  <c r="L63" i="249"/>
  <c r="N63" i="249" s="1"/>
  <c r="O63" i="249" s="1"/>
  <c r="M63" i="249"/>
  <c r="M57" i="249"/>
  <c r="N57" i="249"/>
  <c r="O57" i="249" s="1"/>
  <c r="L58" i="249"/>
  <c r="N58" i="249" s="1"/>
  <c r="O58" i="249" s="1"/>
  <c r="M58" i="249"/>
  <c r="L56" i="249"/>
  <c r="N56" i="249" s="1"/>
  <c r="O56" i="249" s="1"/>
  <c r="L59" i="249"/>
  <c r="N59" i="249" s="1"/>
  <c r="O59" i="249" s="1"/>
  <c r="M59" i="249"/>
  <c r="M49" i="249"/>
  <c r="N49" i="249" s="1"/>
  <c r="O49" i="249" s="1"/>
  <c r="L50" i="249"/>
  <c r="N50" i="249" s="1"/>
  <c r="O50" i="249" s="1"/>
  <c r="M50" i="249"/>
  <c r="L48" i="249"/>
  <c r="L51" i="249"/>
  <c r="M46" i="249"/>
  <c r="L44" i="249"/>
  <c r="N46" i="249"/>
  <c r="O46" i="249" s="1"/>
  <c r="L47" i="249"/>
  <c r="N47" i="249" s="1"/>
  <c r="O47" i="249" s="1"/>
  <c r="M44" i="249"/>
  <c r="M47" i="249"/>
  <c r="M41" i="249"/>
  <c r="N41" i="249"/>
  <c r="O41" i="249" s="1"/>
  <c r="L42" i="249"/>
  <c r="L40" i="249"/>
  <c r="N42" i="249"/>
  <c r="O42" i="249" s="1"/>
  <c r="L43" i="249"/>
  <c r="N43" i="249" s="1"/>
  <c r="O43" i="249" s="1"/>
  <c r="M40" i="249"/>
  <c r="M43" i="249"/>
  <c r="L37" i="249"/>
  <c r="N37" i="249" s="1"/>
  <c r="O37" i="249" s="1"/>
  <c r="L38" i="249"/>
  <c r="L36" i="249"/>
  <c r="N36" i="249" s="1"/>
  <c r="O36" i="249" s="1"/>
  <c r="L39" i="249"/>
  <c r="M36" i="249"/>
  <c r="M39" i="249"/>
  <c r="M33" i="249"/>
  <c r="N33" i="249" s="1"/>
  <c r="O33" i="249" s="1"/>
  <c r="L34" i="249"/>
  <c r="L35" i="249"/>
  <c r="M32" i="249"/>
  <c r="M35" i="249"/>
  <c r="M28" i="249"/>
  <c r="L29" i="249"/>
  <c r="M29" i="249"/>
  <c r="L30" i="249"/>
  <c r="M30" i="249"/>
  <c r="L28" i="249"/>
  <c r="L31" i="249"/>
  <c r="N31" i="249" s="1"/>
  <c r="O31" i="249" s="1"/>
  <c r="L25" i="249"/>
  <c r="M25" i="249"/>
  <c r="L27" i="249"/>
  <c r="N27" i="249" s="1"/>
  <c r="O27" i="249" s="1"/>
  <c r="L24" i="249"/>
  <c r="M24" i="249"/>
  <c r="M27" i="249"/>
  <c r="M21" i="249"/>
  <c r="N21" i="249" s="1"/>
  <c r="O21" i="249" s="1"/>
  <c r="L22" i="249"/>
  <c r="L20" i="249"/>
  <c r="N22" i="249"/>
  <c r="L23" i="249"/>
  <c r="M23" i="249"/>
  <c r="N23" i="249"/>
  <c r="M17" i="249"/>
  <c r="N17" i="249" s="1"/>
  <c r="O17" i="249" s="1"/>
  <c r="M18" i="249"/>
  <c r="N18" i="249" s="1"/>
  <c r="O18" i="249" s="1"/>
  <c r="L16" i="249"/>
  <c r="M16" i="249"/>
  <c r="M19" i="249"/>
  <c r="M9" i="249"/>
  <c r="N9" i="249" s="1"/>
  <c r="O9" i="249" s="1"/>
  <c r="L8" i="249"/>
  <c r="L11" i="249"/>
  <c r="L10" i="249"/>
  <c r="M8" i="249"/>
  <c r="M11" i="249"/>
  <c r="E25" i="145"/>
  <c r="E12" i="145"/>
  <c r="B2" i="1"/>
  <c r="B5" i="1"/>
  <c r="P10" i="145" a="1"/>
  <c r="P10" i="145" s="1"/>
  <c r="P12" i="145" a="1"/>
  <c r="A1" i="145"/>
  <c r="A6" i="145" s="1"/>
  <c r="P8" i="145"/>
  <c r="N187" i="249" l="1"/>
  <c r="O187" i="249" s="1"/>
  <c r="Q184" i="249" s="1"/>
  <c r="R184" i="249" s="1"/>
  <c r="E13" i="230" s="1"/>
  <c r="N183" i="249"/>
  <c r="O183" i="249" s="1"/>
  <c r="N171" i="249"/>
  <c r="O171" i="249" s="1"/>
  <c r="N167" i="249"/>
  <c r="O167" i="249" s="1"/>
  <c r="N163" i="249"/>
  <c r="O163" i="249" s="1"/>
  <c r="N115" i="249"/>
  <c r="O115" i="249" s="1"/>
  <c r="N107" i="249"/>
  <c r="O107" i="249" s="1"/>
  <c r="N103" i="249"/>
  <c r="O103" i="249" s="1"/>
  <c r="N83" i="249"/>
  <c r="O83" i="249" s="1"/>
  <c r="N79" i="249"/>
  <c r="O79" i="249" s="1"/>
  <c r="N75" i="249"/>
  <c r="O75" i="249" s="1"/>
  <c r="N67" i="249"/>
  <c r="O67" i="249" s="1"/>
  <c r="N51" i="249"/>
  <c r="O51" i="249" s="1"/>
  <c r="N39" i="249"/>
  <c r="O39" i="249" s="1"/>
  <c r="N35" i="249"/>
  <c r="O35" i="249" s="1"/>
  <c r="N11" i="249"/>
  <c r="O11" i="249" s="1"/>
  <c r="N182" i="249"/>
  <c r="O182" i="249" s="1"/>
  <c r="N174" i="249"/>
  <c r="O174" i="249" s="1"/>
  <c r="N170" i="249"/>
  <c r="O170" i="249" s="1"/>
  <c r="Q168" i="249" s="1"/>
  <c r="R168" i="249" s="1"/>
  <c r="E36" i="230" s="1"/>
  <c r="N146" i="249"/>
  <c r="O146" i="249" s="1"/>
  <c r="N142" i="249"/>
  <c r="O142" i="249" s="1"/>
  <c r="N134" i="249"/>
  <c r="O134" i="249" s="1"/>
  <c r="N130" i="249"/>
  <c r="O130" i="249" s="1"/>
  <c r="N122" i="249"/>
  <c r="O122" i="249" s="1"/>
  <c r="N114" i="249"/>
  <c r="O114" i="249" s="1"/>
  <c r="N66" i="249"/>
  <c r="O66" i="249" s="1"/>
  <c r="N62" i="249"/>
  <c r="O62" i="249" s="1"/>
  <c r="N34" i="249"/>
  <c r="O34" i="249" s="1"/>
  <c r="N30" i="249"/>
  <c r="O30" i="249" s="1"/>
  <c r="N26" i="249"/>
  <c r="O26" i="249" s="1"/>
  <c r="N10" i="249"/>
  <c r="O10" i="249" s="1"/>
  <c r="N193" i="249"/>
  <c r="O193" i="249" s="1"/>
  <c r="Q192" i="249" s="1"/>
  <c r="R192" i="249" s="1"/>
  <c r="E25" i="230" s="1"/>
  <c r="Q188" i="249"/>
  <c r="R188" i="249" s="1"/>
  <c r="E24" i="230" s="1"/>
  <c r="Q180" i="249"/>
  <c r="R180" i="249" s="1"/>
  <c r="E16" i="230" s="1"/>
  <c r="Q176" i="249"/>
  <c r="R176" i="249" s="1"/>
  <c r="E46" i="230" s="1"/>
  <c r="N173" i="249"/>
  <c r="O173" i="249" s="1"/>
  <c r="N165" i="249"/>
  <c r="O165" i="249" s="1"/>
  <c r="N153" i="249"/>
  <c r="O153" i="249" s="1"/>
  <c r="N145" i="249"/>
  <c r="O145" i="249" s="1"/>
  <c r="Q144" i="249" s="1"/>
  <c r="R144" i="249" s="1"/>
  <c r="E17" i="230" s="1"/>
  <c r="Q140" i="249"/>
  <c r="R140" i="249" s="1"/>
  <c r="E32" i="230" s="1"/>
  <c r="N133" i="249"/>
  <c r="O133" i="249" s="1"/>
  <c r="Q120" i="249"/>
  <c r="R120" i="249" s="1"/>
  <c r="E38" i="230" s="1"/>
  <c r="Q116" i="249"/>
  <c r="R116" i="249" s="1"/>
  <c r="E14" i="230" s="1"/>
  <c r="Q100" i="249"/>
  <c r="R100" i="249" s="1"/>
  <c r="E22" i="230" s="1"/>
  <c r="N85" i="249"/>
  <c r="O85" i="249" s="1"/>
  <c r="Q84" i="249" s="1"/>
  <c r="R84" i="249" s="1"/>
  <c r="E51" i="230" s="1"/>
  <c r="N81" i="249"/>
  <c r="O81" i="249" s="1"/>
  <c r="N77" i="249"/>
  <c r="O77" i="249" s="1"/>
  <c r="Q76" i="249" s="1"/>
  <c r="R76" i="249" s="1"/>
  <c r="E8" i="230" s="1"/>
  <c r="N73" i="249"/>
  <c r="O73" i="249" s="1"/>
  <c r="Q64" i="249"/>
  <c r="R64" i="249" s="1"/>
  <c r="E23" i="230" s="1"/>
  <c r="N61" i="249"/>
  <c r="O61" i="249" s="1"/>
  <c r="Q60" i="249" s="1"/>
  <c r="R60" i="249" s="1"/>
  <c r="E21" i="230" s="1"/>
  <c r="Q56" i="249"/>
  <c r="R56" i="249" s="1"/>
  <c r="E43" i="230" s="1"/>
  <c r="Q36" i="249"/>
  <c r="R36" i="249" s="1"/>
  <c r="E11" i="230" s="1"/>
  <c r="N29" i="249"/>
  <c r="O29" i="249" s="1"/>
  <c r="N25" i="249"/>
  <c r="O25" i="249" s="1"/>
  <c r="N164" i="249"/>
  <c r="O164" i="249" s="1"/>
  <c r="N160" i="249"/>
  <c r="O160" i="249" s="1"/>
  <c r="Q160" i="249" s="1"/>
  <c r="R160" i="249" s="1"/>
  <c r="E44" i="230" s="1"/>
  <c r="N156" i="249"/>
  <c r="O156" i="249" s="1"/>
  <c r="Q156" i="249" s="1"/>
  <c r="R156" i="249" s="1"/>
  <c r="E48" i="230" s="1"/>
  <c r="N152" i="249"/>
  <c r="O152" i="249" s="1"/>
  <c r="Q152" i="249" s="1"/>
  <c r="R152" i="249" s="1"/>
  <c r="E15" i="230" s="1"/>
  <c r="N148" i="249"/>
  <c r="O148" i="249" s="1"/>
  <c r="Q148" i="249" s="1"/>
  <c r="R148" i="249" s="1"/>
  <c r="E52" i="230" s="1"/>
  <c r="N136" i="249"/>
  <c r="O136" i="249" s="1"/>
  <c r="Q136" i="249" s="1"/>
  <c r="R136" i="249" s="1"/>
  <c r="E19" i="230" s="1"/>
  <c r="N132" i="249"/>
  <c r="O132" i="249" s="1"/>
  <c r="Q132" i="249" s="1"/>
  <c r="R132" i="249" s="1"/>
  <c r="E41" i="230" s="1"/>
  <c r="N128" i="249"/>
  <c r="O128" i="249" s="1"/>
  <c r="Q128" i="249" s="1"/>
  <c r="R128" i="249" s="1"/>
  <c r="E26" i="230" s="1"/>
  <c r="N124" i="249"/>
  <c r="O124" i="249" s="1"/>
  <c r="Q124" i="249" s="1"/>
  <c r="R124" i="249" s="1"/>
  <c r="E10" i="230" s="1"/>
  <c r="N112" i="249"/>
  <c r="O112" i="249" s="1"/>
  <c r="Q112" i="249" s="1"/>
  <c r="R112" i="249" s="1"/>
  <c r="E31" i="230" s="1"/>
  <c r="N108" i="249"/>
  <c r="O108" i="249" s="1"/>
  <c r="Q108" i="249" s="1"/>
  <c r="R108" i="249" s="1"/>
  <c r="E27" i="230" s="1"/>
  <c r="N104" i="249"/>
  <c r="O104" i="249" s="1"/>
  <c r="Q104" i="249" s="1"/>
  <c r="R104" i="249" s="1"/>
  <c r="E20" i="230" s="1"/>
  <c r="N96" i="249"/>
  <c r="O96" i="249" s="1"/>
  <c r="Q96" i="249" s="1"/>
  <c r="R96" i="249" s="1"/>
  <c r="E39" i="230" s="1"/>
  <c r="N92" i="249"/>
  <c r="O92" i="249" s="1"/>
  <c r="Q92" i="249" s="1"/>
  <c r="R92" i="249" s="1"/>
  <c r="E30" i="230" s="1"/>
  <c r="N88" i="249"/>
  <c r="O88" i="249" s="1"/>
  <c r="Q88" i="249" s="1"/>
  <c r="R88" i="249" s="1"/>
  <c r="E34" i="230" s="1"/>
  <c r="N80" i="249"/>
  <c r="O80" i="249" s="1"/>
  <c r="Q80" i="249" s="1"/>
  <c r="R80" i="249" s="1"/>
  <c r="E29" i="230" s="1"/>
  <c r="N72" i="249"/>
  <c r="O72" i="249" s="1"/>
  <c r="Q72" i="249" s="1"/>
  <c r="R72" i="249" s="1"/>
  <c r="E18" i="230" s="1"/>
  <c r="N68" i="249"/>
  <c r="O68" i="249" s="1"/>
  <c r="Q68" i="249" s="1"/>
  <c r="R68" i="249" s="1"/>
  <c r="E28" i="230" s="1"/>
  <c r="N48" i="249"/>
  <c r="O48" i="249" s="1"/>
  <c r="Q48" i="249" s="1"/>
  <c r="R48" i="249" s="1"/>
  <c r="E35" i="230" s="1"/>
  <c r="N44" i="249"/>
  <c r="O44" i="249" s="1"/>
  <c r="Q44" i="249" s="1"/>
  <c r="R44" i="249" s="1"/>
  <c r="E33" i="230" s="1"/>
  <c r="N40" i="249"/>
  <c r="O40" i="249" s="1"/>
  <c r="Q40" i="249" s="1"/>
  <c r="R40" i="249" s="1"/>
  <c r="E12" i="230" s="1"/>
  <c r="N32" i="249"/>
  <c r="O32" i="249" s="1"/>
  <c r="Q32" i="249" s="1"/>
  <c r="R32" i="249" s="1"/>
  <c r="E37" i="230" s="1"/>
  <c r="N28" i="249"/>
  <c r="O28" i="249" s="1"/>
  <c r="Q28" i="249" s="1"/>
  <c r="R28" i="249" s="1"/>
  <c r="E9" i="230" s="1"/>
  <c r="N24" i="249"/>
  <c r="O24" i="249" s="1"/>
  <c r="Q24" i="249" s="1"/>
  <c r="R24" i="249" s="1"/>
  <c r="E40" i="230" s="1"/>
  <c r="N20" i="249"/>
  <c r="O20" i="249" s="1"/>
  <c r="Q20" i="249" s="1"/>
  <c r="R20" i="249" s="1"/>
  <c r="E50" i="230" s="1"/>
  <c r="N16" i="249"/>
  <c r="O16" i="249" s="1"/>
  <c r="Q16" i="249" s="1"/>
  <c r="R16" i="249" s="1"/>
  <c r="E47" i="230" s="1"/>
  <c r="N8" i="249"/>
  <c r="O8" i="249" s="1"/>
  <c r="Q8" i="249" s="1"/>
  <c r="R8" i="249" s="1"/>
  <c r="E49" i="230" s="1"/>
  <c r="P12" i="145"/>
  <c r="L9" i="1"/>
  <c r="I9" i="1"/>
  <c r="M10" i="1"/>
  <c r="I10" i="1"/>
  <c r="M9" i="1"/>
  <c r="L10" i="1"/>
  <c r="B3" i="1"/>
  <c r="A2" i="230"/>
  <c r="H8" i="1"/>
  <c r="I8" i="1"/>
  <c r="L8" i="1"/>
  <c r="M8" i="1"/>
  <c r="L7" i="1"/>
  <c r="M7" i="1"/>
  <c r="H7" i="1"/>
  <c r="I7" i="1"/>
  <c r="E11" i="145"/>
  <c r="E13" i="145"/>
  <c r="E14" i="145"/>
  <c r="E15" i="145"/>
  <c r="E16" i="145"/>
  <c r="E17" i="145"/>
  <c r="E18" i="145"/>
  <c r="E19" i="145"/>
  <c r="E20" i="145"/>
  <c r="E21" i="145"/>
  <c r="E22" i="145"/>
  <c r="E23" i="145"/>
  <c r="E24" i="145"/>
  <c r="E10" i="145"/>
  <c r="A4" i="230"/>
  <c r="A3" i="230"/>
  <c r="A1" i="230"/>
  <c r="A4" i="249"/>
  <c r="A3" i="249"/>
  <c r="A1" i="249"/>
  <c r="K16" i="1"/>
  <c r="I8" i="9"/>
  <c r="H8" i="9"/>
  <c r="I7" i="9"/>
  <c r="H7" i="9"/>
  <c r="I6" i="9"/>
  <c r="H6" i="9"/>
  <c r="I5" i="9"/>
  <c r="H5" i="9"/>
  <c r="I15" i="9"/>
  <c r="H15" i="9"/>
  <c r="I14" i="9"/>
  <c r="H14" i="9"/>
  <c r="I13" i="9"/>
  <c r="H13" i="9"/>
  <c r="I12" i="9"/>
  <c r="H12" i="9"/>
  <c r="Q172" i="249" l="1"/>
  <c r="R172" i="249" s="1"/>
  <c r="E42" i="230" s="1"/>
  <c r="Q164" i="249"/>
  <c r="R164" i="249" s="1"/>
  <c r="E45" i="230" s="1"/>
  <c r="A2" i="249"/>
  <c r="E6" i="9"/>
  <c r="E12" i="9"/>
  <c r="E5" i="9"/>
  <c r="E13" i="9"/>
  <c r="G10" i="145" a="1"/>
  <c r="G10" i="145" s="1"/>
  <c r="J14" i="9"/>
  <c r="K14" i="9" s="1"/>
  <c r="J7" i="9"/>
  <c r="K7" i="9" s="1"/>
  <c r="J12" i="9"/>
  <c r="K12" i="9" s="1"/>
  <c r="J5" i="9"/>
  <c r="K5" i="9" s="1"/>
  <c r="J8" i="9"/>
  <c r="J13" i="9"/>
  <c r="J15" i="9"/>
  <c r="K15" i="9" s="1"/>
  <c r="J6" i="9"/>
  <c r="N20" i="9"/>
  <c r="L12" i="9"/>
  <c r="K8" i="9"/>
  <c r="L8" i="9" s="1"/>
  <c r="L15" i="9"/>
  <c r="K13" i="9" l="1"/>
  <c r="L13" i="9" s="1"/>
  <c r="M13" i="9" s="1"/>
  <c r="K6" i="9"/>
  <c r="L6" i="9" s="1"/>
  <c r="N7" i="1"/>
  <c r="E14" i="9"/>
  <c r="E7" i="9"/>
  <c r="E8" i="9"/>
  <c r="E15" i="9"/>
  <c r="M19" i="9"/>
  <c r="P15" i="9"/>
  <c r="O19" i="9"/>
  <c r="P20" i="9"/>
  <c r="M20" i="9"/>
  <c r="O20" i="9"/>
  <c r="P19" i="9"/>
  <c r="N19" i="9"/>
  <c r="N12" i="9"/>
  <c r="M15" i="9"/>
  <c r="M12" i="9"/>
  <c r="P12" i="9"/>
  <c r="O15" i="9"/>
  <c r="N15" i="9"/>
  <c r="N8" i="9"/>
  <c r="M8" i="9"/>
  <c r="P8" i="9"/>
  <c r="O8" i="9"/>
  <c r="N22" i="9"/>
  <c r="P22" i="9"/>
  <c r="M22" i="9"/>
  <c r="L5" i="9"/>
  <c r="N21" i="9"/>
  <c r="O22" i="9"/>
  <c r="L14" i="9"/>
  <c r="O12" i="9"/>
  <c r="L7" i="9"/>
  <c r="O7" i="9" s="1"/>
  <c r="O13" i="9" l="1"/>
  <c r="P13" i="9"/>
  <c r="S5" i="9"/>
  <c r="N13" i="9"/>
  <c r="S12" i="9"/>
  <c r="O6" i="9"/>
  <c r="P6" i="9"/>
  <c r="M6" i="9"/>
  <c r="N6" i="9"/>
  <c r="M21" i="9"/>
  <c r="P21" i="9"/>
  <c r="N14" i="9"/>
  <c r="R19" i="9"/>
  <c r="O21" i="9"/>
  <c r="P5" i="9"/>
  <c r="M5" i="9"/>
  <c r="N7" i="9"/>
  <c r="R5" i="9"/>
  <c r="N5" i="9"/>
  <c r="P14" i="9"/>
  <c r="R12" i="9"/>
  <c r="M7" i="9"/>
  <c r="P7" i="9"/>
  <c r="O14" i="9"/>
  <c r="M14" i="9"/>
  <c r="O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 M. Percy G.</author>
  </authors>
  <commentList>
    <comment ref="D8" authorId="0" shapeId="0" xr:uid="{AE094F46-0BB6-47E6-958D-BF66C5EC2816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9" authorId="0" shapeId="0" xr:uid="{7F9776C2-D99A-480B-9E42-D0077E52B52F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0" authorId="0" shapeId="0" xr:uid="{D3A4BFEF-C3A5-4131-AA28-0EE7A0189496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1" authorId="0" shapeId="0" xr:uid="{61571BA4-2269-4FAF-B4CE-6DC110365947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6" authorId="0" shapeId="0" xr:uid="{80FAAC50-CB5D-4104-9E0B-EA7CB0D62315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7" authorId="0" shapeId="0" xr:uid="{0A172998-FD8B-4A6E-B5DB-10F7188C075F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8" authorId="0" shapeId="0" xr:uid="{3FAD3959-72DB-44C1-B08C-A5CB0F01BB9A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9" authorId="0" shapeId="0" xr:uid="{C54EC706-A89D-4DD3-BA89-55268AC2C840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20" authorId="0" shapeId="0" xr:uid="{78FC45C1-949F-423F-89A3-D93B833BE806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21" authorId="0" shapeId="0" xr:uid="{12905583-40F3-4DB7-B226-58567A548A52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22" authorId="0" shapeId="0" xr:uid="{9B9D81EC-F3B6-4887-9A08-C8401A43EFE1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23" authorId="0" shapeId="0" xr:uid="{CBAB7FF4-180E-4185-A0D7-B08770E840C3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24" authorId="0" shapeId="0" xr:uid="{623421AD-20C0-4365-9EA7-91F8D403A699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25" authorId="0" shapeId="0" xr:uid="{71116D97-4DDD-4C0C-B668-68C6B567A2B6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26" authorId="0" shapeId="0" xr:uid="{33E233E0-B44E-414B-BF4C-EC8B278B5C6C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27" authorId="0" shapeId="0" xr:uid="{5C6641EC-9824-45E7-933C-BFE30F86E99A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28" authorId="0" shapeId="0" xr:uid="{3A30FFE5-34A4-4FBE-BB3F-A28A4F19D791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29" authorId="0" shapeId="0" xr:uid="{65F74ABE-0A4B-43F7-AB87-F52239713DDF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30" authorId="0" shapeId="0" xr:uid="{4910C3F6-DB59-4DED-A358-1B15C1C83A77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31" authorId="0" shapeId="0" xr:uid="{6B172620-D029-4B8A-A02D-311CEA10EBFE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32" authorId="0" shapeId="0" xr:uid="{C74D11D1-06E0-4AE5-B564-7A4CAAF61747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33" authorId="0" shapeId="0" xr:uid="{C4EB51BF-EC6C-4B2C-9E41-552152841D73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34" authorId="0" shapeId="0" xr:uid="{6574D2BF-0770-478E-9314-D4B9D4380F6D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35" authorId="0" shapeId="0" xr:uid="{3E4EC73C-464D-4FCA-9956-401491F35E63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36" authorId="0" shapeId="0" xr:uid="{2CE5F0F0-E753-4783-AA3A-B1C1FC18187A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37" authorId="0" shapeId="0" xr:uid="{368448BA-2630-4FC7-A910-338137EA6400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38" authorId="0" shapeId="0" xr:uid="{0F2C7CE7-FD82-4A83-A06B-51D6E4BCE555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39" authorId="0" shapeId="0" xr:uid="{63A7A069-2068-46F1-A35D-AABD1CB0F14A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40" authorId="0" shapeId="0" xr:uid="{810016C5-916E-4D8A-9818-9F2712E1B3BA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41" authorId="0" shapeId="0" xr:uid="{C55D0A80-5132-4929-AF8A-DB59B24FDB67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42" authorId="0" shapeId="0" xr:uid="{DBA7BFFD-F87A-4250-9666-65FA41C216FE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43" authorId="0" shapeId="0" xr:uid="{47EFBA5F-25E1-4966-8A34-31E3DC10B789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44" authorId="0" shapeId="0" xr:uid="{74514E4C-B00C-4A8C-955B-94EE383D20BD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45" authorId="0" shapeId="0" xr:uid="{FB8A85B8-EEF2-4CE4-9477-1FD63609774A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46" authorId="0" shapeId="0" xr:uid="{953FFB8D-8D8B-41CB-A8A7-97E4BB3B3025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47" authorId="0" shapeId="0" xr:uid="{F826FC99-6503-4605-A980-E85E8423643B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48" authorId="0" shapeId="0" xr:uid="{5AD43705-5116-4419-88E2-861773CA9930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49" authorId="0" shapeId="0" xr:uid="{21F9BE78-8469-478C-9F0A-9AD0A7C8D552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50" authorId="0" shapeId="0" xr:uid="{2F36F25C-FD6B-4629-B9A6-D32BF7167D76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51" authorId="0" shapeId="0" xr:uid="{317E77E6-C7CD-4A4B-959E-7FD3FEF1D1D4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56" authorId="0" shapeId="0" xr:uid="{984DE23B-4698-442F-9F2C-B77E5CA0D8F2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57" authorId="0" shapeId="0" xr:uid="{29AF78D8-82EF-466E-BE56-44B01CF26F67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58" authorId="0" shapeId="0" xr:uid="{F07C2ADD-821E-462E-A6F9-F95BE1042906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59" authorId="0" shapeId="0" xr:uid="{C382F965-79BB-44CA-9A12-772076D13990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60" authorId="0" shapeId="0" xr:uid="{C9650534-4E19-42A8-BD1A-FDE8435787BD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61" authorId="0" shapeId="0" xr:uid="{A173E052-EF3E-4BE5-862C-C44F84495555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62" authorId="0" shapeId="0" xr:uid="{453AE1B6-93B1-49EC-A0F8-F467A5DF0836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63" authorId="0" shapeId="0" xr:uid="{8E188901-1780-4E0B-A113-D0778A5745F0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64" authorId="0" shapeId="0" xr:uid="{34A0A766-175F-4AAB-8B61-9822C2852DA9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65" authorId="0" shapeId="0" xr:uid="{949174DE-7435-46FB-AC47-56243007F535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66" authorId="0" shapeId="0" xr:uid="{8EB897B9-FF6B-4714-93B2-7A83636199B8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67" authorId="0" shapeId="0" xr:uid="{430128F8-A308-4F42-80FD-94AECF0B6F1D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68" authorId="0" shapeId="0" xr:uid="{829EBDFF-DE83-4E29-91E4-8E4550BD3E58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69" authorId="0" shapeId="0" xr:uid="{0884F2EF-6CFA-4129-A5EE-BE609942A8AD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70" authorId="0" shapeId="0" xr:uid="{588CB28B-3964-4488-B8C7-99D5C0244479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71" authorId="0" shapeId="0" xr:uid="{BB237C60-503C-4366-AA95-33DB6C861E4A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72" authorId="0" shapeId="0" xr:uid="{03CCE4AD-1799-4112-8F77-3B6B6452CDB6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73" authorId="0" shapeId="0" xr:uid="{B29FDAF2-F55D-44B0-92D9-D29C95CF139E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74" authorId="0" shapeId="0" xr:uid="{A25F2A4E-CF8F-4158-A04B-595A1E8695B1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75" authorId="0" shapeId="0" xr:uid="{35E25D4D-1669-46D2-A247-A1D266A8F43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76" authorId="0" shapeId="0" xr:uid="{A8A42876-CE63-470A-9B4C-9817A54EB281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77" authorId="0" shapeId="0" xr:uid="{E2C0C08E-8C37-4776-B6FA-1EAE19838B6E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78" authorId="0" shapeId="0" xr:uid="{0DD63033-772C-431D-9054-C3475DD2EF5A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79" authorId="0" shapeId="0" xr:uid="{FA830865-DE14-4D03-BB67-238F53FFCD5F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80" authorId="0" shapeId="0" xr:uid="{810D588A-9DE1-4DC2-A4E1-5787629BC475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81" authorId="0" shapeId="0" xr:uid="{298A4277-8A7A-4239-BA52-23DBE9BDF86D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82" authorId="0" shapeId="0" xr:uid="{55A4BA9B-77ED-488B-84DA-313C88284AA0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83" authorId="0" shapeId="0" xr:uid="{A6327068-C5B3-49B4-BD80-1AA95B45538A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84" authorId="0" shapeId="0" xr:uid="{19F8460D-5E85-4A16-80A5-95CAB854C04E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85" authorId="0" shapeId="0" xr:uid="{EE95E18C-D87B-4142-89CC-D9FA54491B6F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86" authorId="0" shapeId="0" xr:uid="{173B455B-3A65-4393-B847-C229FD087F6B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87" authorId="0" shapeId="0" xr:uid="{2FE63187-385A-4C7C-A349-4FB9E81F13D8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88" authorId="0" shapeId="0" xr:uid="{1938A450-5CE1-4A6B-89E6-16850284EE55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89" authorId="0" shapeId="0" xr:uid="{F68EC432-08B6-4443-9B45-A2A6B1E764E6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90" authorId="0" shapeId="0" xr:uid="{3FBC163A-F5D9-4BA9-86B4-FFFAD5A7E41F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91" authorId="0" shapeId="0" xr:uid="{612C2401-DE92-47C1-80FA-D6F6558A8FC9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92" authorId="0" shapeId="0" xr:uid="{E16B94A7-D15B-4252-8BCB-CA3DFB059C4A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93" authorId="0" shapeId="0" xr:uid="{BE8DB160-48FA-4BF0-8918-F05FBA286C8B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94" authorId="0" shapeId="0" xr:uid="{A76F4950-D370-41C9-9D03-8EC76C74C9CB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95" authorId="0" shapeId="0" xr:uid="{62EF6FDF-B1FB-4ABD-A4CF-2810BFC54861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96" authorId="0" shapeId="0" xr:uid="{AC04513A-933F-4A69-9EEA-32C7B039AFE2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97" authorId="0" shapeId="0" xr:uid="{63FC41A1-CD88-415E-A92D-2BE6AA246D76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98" authorId="0" shapeId="0" xr:uid="{568C7DF4-C7E5-4185-B5C6-ADC9F9097AE5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99" authorId="0" shapeId="0" xr:uid="{3001D157-CC7F-46CC-BA1C-5000FCBB02E7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00" authorId="0" shapeId="0" xr:uid="{5BF4A740-FF98-43C8-92C1-82BF73227CC5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01" authorId="0" shapeId="0" xr:uid="{262B29C5-422C-479E-A535-791B0645C1D9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02" authorId="0" shapeId="0" xr:uid="{151CB7C3-AC4D-4905-A8D9-921C1D7DE969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03" authorId="0" shapeId="0" xr:uid="{62C41312-97C0-4B1F-BF92-2326F9BCE650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04" authorId="0" shapeId="0" xr:uid="{74FC3FFF-3D95-4650-BB01-EB7A66D4A9B4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05" authorId="0" shapeId="0" xr:uid="{5781090D-6E7D-41AC-B024-C2FFC75946C1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06" authorId="0" shapeId="0" xr:uid="{6851BAFE-55FF-432F-B30E-1A9549F3646C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07" authorId="0" shapeId="0" xr:uid="{4F2832FD-85E0-4C5B-8DFB-E8D1CE08FC6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08" authorId="0" shapeId="0" xr:uid="{BB6F587F-9BAC-4C80-9C6B-C99E3C66931E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09" authorId="0" shapeId="0" xr:uid="{F153CBD3-63F5-49D0-8B6A-F152A57225BD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10" authorId="0" shapeId="0" xr:uid="{5F29BEC0-8552-4589-9268-25E8060100BF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11" authorId="0" shapeId="0" xr:uid="{2A1EDF2C-A9AE-408C-9739-8729E1E4F2A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12" authorId="0" shapeId="0" xr:uid="{C28B0868-78AF-4F68-8F1F-B93B46C1BE5B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13" authorId="0" shapeId="0" xr:uid="{FDC37205-F683-4434-A54B-01FD6639CAF7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14" authorId="0" shapeId="0" xr:uid="{3A28D3A3-DC92-4E9C-B464-79857F6A85CF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15" authorId="0" shapeId="0" xr:uid="{C7FFA612-84BA-40F8-86BB-CCFBF42C8673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16" authorId="0" shapeId="0" xr:uid="{3DE89833-FC77-4F95-8F2F-344713F9B98F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17" authorId="0" shapeId="0" xr:uid="{ED7DE04D-8F45-47FA-B0C6-CF3359F8AE69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18" authorId="0" shapeId="0" xr:uid="{677724C3-E191-4113-8426-9BBC97ACCA0A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19" authorId="0" shapeId="0" xr:uid="{A60CF3E8-D5D6-4DA7-BFCE-EBBA1E33AACF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20" authorId="0" shapeId="0" xr:uid="{F1CFD8E6-EA69-4F17-A274-251B122C626E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21" authorId="0" shapeId="0" xr:uid="{246B3E7C-BA24-4108-B4C4-61CA0DA3D363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22" authorId="0" shapeId="0" xr:uid="{058A6130-BBCD-4E66-83CA-D88F7B03804B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23" authorId="0" shapeId="0" xr:uid="{7922A23D-DDF6-4B26-8A11-E842032608B3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24" authorId="0" shapeId="0" xr:uid="{98EB7C80-9FE6-4419-BA95-0D1228C0C964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25" authorId="0" shapeId="0" xr:uid="{5F54BB34-7507-4471-9BB4-995F1555DA61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26" authorId="0" shapeId="0" xr:uid="{A48A382E-9870-47F9-9828-94ADAC6EC03E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27" authorId="0" shapeId="0" xr:uid="{E8739A4A-8B85-468C-B494-5C5DDC72240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28" authorId="0" shapeId="0" xr:uid="{24281BCA-030D-4898-B0EC-10AADF2A7DBA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29" authorId="0" shapeId="0" xr:uid="{361829D9-629C-4DB7-AA9E-4BB63A4254EC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30" authorId="0" shapeId="0" xr:uid="{ED03FA98-FD91-4F51-9562-ACBD5B4894BF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31" authorId="0" shapeId="0" xr:uid="{1B45F6C0-1CE1-4243-9F86-CE682CCA5B96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32" authorId="0" shapeId="0" xr:uid="{687B0CA2-543B-43E7-9384-C015E6661BF8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33" authorId="0" shapeId="0" xr:uid="{F4F7AD8B-1B96-46BB-81C6-C8809B73EBEB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34" authorId="0" shapeId="0" xr:uid="{FD4BF916-2BCA-4022-83CA-73529D48B83B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35" authorId="0" shapeId="0" xr:uid="{B7269473-3BC1-4D34-8712-415A4A354B22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36" authorId="0" shapeId="0" xr:uid="{1339B6D2-38E9-44E1-ABBC-5EB18ADBB28D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37" authorId="0" shapeId="0" xr:uid="{702D7EED-9AA4-4843-AE4D-81A76F6EC613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38" authorId="0" shapeId="0" xr:uid="{A9E9B817-1543-4542-84E8-C479148E672C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39" authorId="0" shapeId="0" xr:uid="{7C070257-D924-4C16-8512-C1BFADDC92CE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40" authorId="0" shapeId="0" xr:uid="{47880E26-49E9-4002-A8C0-1EB3D262D5B5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41" authorId="0" shapeId="0" xr:uid="{409EFE5C-57E1-4F69-8B20-47D8159FC919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42" authorId="0" shapeId="0" xr:uid="{40010F30-FF7C-41C2-A17B-0D76CE8A43AC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43" authorId="0" shapeId="0" xr:uid="{02339448-63C9-4E33-9B06-787518DD26B6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44" authorId="0" shapeId="0" xr:uid="{851B6CD7-B63A-49A6-84DC-4F979A8D98EB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45" authorId="0" shapeId="0" xr:uid="{E2CB6BF6-3B2D-45D3-BD3B-946E8DD1485D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46" authorId="0" shapeId="0" xr:uid="{92862E0F-9774-4EC8-8F11-F775C6F4E611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47" authorId="0" shapeId="0" xr:uid="{C0A7C04B-7D2A-4DD3-A21E-3BCF78433DD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48" authorId="0" shapeId="0" xr:uid="{3891A479-B78D-4A3B-8159-78186310E36D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49" authorId="0" shapeId="0" xr:uid="{529006AA-4561-4E84-A3D8-E15599F48545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50" authorId="0" shapeId="0" xr:uid="{04DE4081-76BF-4282-BD0C-71BAF2B3CAC1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51" authorId="0" shapeId="0" xr:uid="{FA955044-F2A6-440C-BFC0-2C2A51E3FFAF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52" authorId="0" shapeId="0" xr:uid="{67645FE1-E441-4A41-A714-82001C09AB3E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53" authorId="0" shapeId="0" xr:uid="{83C5C798-0A41-4EA6-9BBF-74617DD25299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54" authorId="0" shapeId="0" xr:uid="{6FEA444E-BF2A-48C2-9DEE-AE6BDDE3F3E0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55" authorId="0" shapeId="0" xr:uid="{2CEC6064-A420-4073-92FC-AB1D725B75E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56" authorId="0" shapeId="0" xr:uid="{760AE21E-BABB-461C-8EF8-C53697F0E66F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57" authorId="0" shapeId="0" xr:uid="{92975AA8-AE73-4166-A8FF-E979019D5FF2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58" authorId="0" shapeId="0" xr:uid="{E33EFA90-3A20-47A7-A0F4-CE706A49FCD3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59" authorId="0" shapeId="0" xr:uid="{F70E7F48-C9FE-4875-9634-2EA9C5E7B423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60" authorId="0" shapeId="0" xr:uid="{64C56B84-69B1-4576-A6FB-7A47C0BE0F84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61" authorId="0" shapeId="0" xr:uid="{A51F137B-60B9-4796-8E70-60E7CF770118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62" authorId="0" shapeId="0" xr:uid="{E4022DF8-8DBD-4DD2-8E8C-0AD4EEC70CE8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63" authorId="0" shapeId="0" xr:uid="{8D988DF9-098D-4E00-A477-2C29894AA8B3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64" authorId="0" shapeId="0" xr:uid="{71F233F5-E18C-4B58-8A3B-EE6F6844EF8C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65" authorId="0" shapeId="0" xr:uid="{92DBDD71-A181-49A1-9CA5-F77D8B616CF1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66" authorId="0" shapeId="0" xr:uid="{F5E68F0E-66E1-44F8-A437-52BD9225ED7D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67" authorId="0" shapeId="0" xr:uid="{62EA5BBC-B209-4A31-91BC-8C7244F2A568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68" authorId="0" shapeId="0" xr:uid="{8BC72EB6-2878-4AD0-9D19-29725B0311CA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69" authorId="0" shapeId="0" xr:uid="{DDD53BA5-98AC-4F5A-9B88-2FA73930E26B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70" authorId="0" shapeId="0" xr:uid="{AD1CE0BD-D075-4A6E-9A45-48B76693B3E3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71" authorId="0" shapeId="0" xr:uid="{8C698341-FB92-4DDB-BBE6-1710330DC91B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72" authorId="0" shapeId="0" xr:uid="{9C817DB1-FDA3-4A39-AD4E-C1C4C52B1448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73" authorId="0" shapeId="0" xr:uid="{A580460C-43C3-49BD-BBBB-CAF144874A56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74" authorId="0" shapeId="0" xr:uid="{06624BAD-A2D9-4DEF-A323-1CE1895743B5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75" authorId="0" shapeId="0" xr:uid="{67A01D49-651F-41F2-87DB-ADF9A094C7BB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76" authorId="0" shapeId="0" xr:uid="{2E6D4C77-4E3C-4AD2-96E7-2F153EFBDDD4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77" authorId="0" shapeId="0" xr:uid="{DD43EEA7-6CA3-449C-8BF4-6E98CFC5222A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78" authorId="0" shapeId="0" xr:uid="{2DC1ABA6-DCF0-4B42-A07A-1AE13F8ED7B8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79" authorId="0" shapeId="0" xr:uid="{9EE63C04-443A-4F54-AF26-96D9553D1131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80" authorId="0" shapeId="0" xr:uid="{002CEC1A-DE68-4F0D-9A12-CA4B27B0165D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81" authorId="0" shapeId="0" xr:uid="{A2BD9175-9EC2-4E6C-BF11-1C86B42FA5C2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82" authorId="0" shapeId="0" xr:uid="{948AE060-BCD1-4429-936F-F3426E135793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83" authorId="0" shapeId="0" xr:uid="{7FBC3522-2E49-46D5-B865-408DCCC428F8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84" authorId="0" shapeId="0" xr:uid="{DC9C5C1B-FCFC-456D-B2D5-83A1520764FE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85" authorId="0" shapeId="0" xr:uid="{7CB69E68-B3CB-47C8-96AC-4A2C0D9C0825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86" authorId="0" shapeId="0" xr:uid="{0A718111-A173-48FE-8C09-1D60DD980218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87" authorId="0" shapeId="0" xr:uid="{5A212C89-F3B5-44CA-8D53-D8483B0CC13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88" authorId="0" shapeId="0" xr:uid="{E06C5BB6-4D80-4E8A-B268-412678496EEC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89" authorId="0" shapeId="0" xr:uid="{9E14A22A-4237-440B-9B75-1EB0ABE133CC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90" authorId="0" shapeId="0" xr:uid="{7C290188-11EA-42D0-9383-5E46DE0F7EB4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91" authorId="0" shapeId="0" xr:uid="{E9A5B308-7598-4980-BAF4-53E7D2696D67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D192" authorId="0" shapeId="0" xr:uid="{6362CFA2-0B0A-4E42-83BC-AA6D318D68A7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D193" authorId="0" shapeId="0" xr:uid="{EA2EBE91-E09F-4F79-9E46-415B9CD6984F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D194" authorId="0" shapeId="0" xr:uid="{74906D68-4AEF-44FC-8F63-9E464B6D7DE2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D195" authorId="0" shapeId="0" xr:uid="{E92F55B3-3A93-4CFC-91D2-6B705BE43E68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<sst xmlns="http://schemas.openxmlformats.org/spreadsheetml/2006/main" count="570" uniqueCount="175">
  <si>
    <t>CLUB</t>
  </si>
  <si>
    <t>Máxima</t>
  </si>
  <si>
    <t>Minima</t>
  </si>
  <si>
    <t>SUMA PARCIAL</t>
  </si>
  <si>
    <t>TOTAL</t>
  </si>
  <si>
    <t>Orden</t>
  </si>
  <si>
    <t>Deportista</t>
  </si>
  <si>
    <t>Club</t>
  </si>
  <si>
    <t>Penaliz</t>
  </si>
  <si>
    <t>GD</t>
  </si>
  <si>
    <t>Total GD</t>
  </si>
  <si>
    <t>Nombre figura</t>
  </si>
  <si>
    <t>Barracuda</t>
  </si>
  <si>
    <t>Clubes</t>
  </si>
  <si>
    <t>DEPORTISTA</t>
  </si>
  <si>
    <t>Liga de Natación de Antioquia</t>
  </si>
  <si>
    <t>Estrellas de Antioquia</t>
  </si>
  <si>
    <t>SincroAntioquia</t>
  </si>
  <si>
    <t>Walkover Back</t>
  </si>
  <si>
    <t>Swan</t>
  </si>
  <si>
    <t>Ballerina</t>
  </si>
  <si>
    <t>SwordFish</t>
  </si>
  <si>
    <t>Water Drop</t>
  </si>
  <si>
    <t>Straight Ballet Leg</t>
  </si>
  <si>
    <t>Juez 1</t>
  </si>
  <si>
    <t>Juez 2</t>
  </si>
  <si>
    <t>Juez 3</t>
  </si>
  <si>
    <t>Juez 4</t>
  </si>
  <si>
    <t>Juez 5</t>
  </si>
  <si>
    <t>Juez 6</t>
  </si>
  <si>
    <t>Juez 7</t>
  </si>
  <si>
    <t>Entrenadora</t>
  </si>
  <si>
    <t>Fig.</t>
  </si>
  <si>
    <t>Jueces en panel</t>
  </si>
  <si>
    <t>Jueces calculados</t>
  </si>
  <si>
    <t>Puntajes y posiciones finales</t>
  </si>
  <si>
    <t>Orden Salida</t>
  </si>
  <si>
    <t>Posición Final</t>
  </si>
  <si>
    <t>Puntaje Final</t>
  </si>
  <si>
    <t>O.A.</t>
  </si>
  <si>
    <t>Sel. Antioquia</t>
  </si>
  <si>
    <t>AquaSwim</t>
  </si>
  <si>
    <t>N.A.</t>
  </si>
  <si>
    <t>Kip</t>
  </si>
  <si>
    <t>Cantidad de jueces x panel</t>
  </si>
  <si>
    <t>Panel 2</t>
  </si>
  <si>
    <t>Compite</t>
  </si>
  <si>
    <t>Jueces</t>
  </si>
  <si>
    <t>Claudia Estrada</t>
  </si>
  <si>
    <t>Gabriela Salcedo</t>
  </si>
  <si>
    <t>Lia Manotas</t>
  </si>
  <si>
    <t>Oscar Sierra</t>
  </si>
  <si>
    <t>Encabezado de la planilla y Puntajes</t>
  </si>
  <si>
    <t>Panel único</t>
  </si>
  <si>
    <t>Calculado</t>
  </si>
  <si>
    <t>Ana M. Lopera</t>
  </si>
  <si>
    <t>Ana Sofia Molina</t>
  </si>
  <si>
    <t>Carolina Acevedo</t>
  </si>
  <si>
    <t>Laura Velez Osorio</t>
  </si>
  <si>
    <t>Lina M. Navarro</t>
  </si>
  <si>
    <t>Lina M. Zapata</t>
  </si>
  <si>
    <t>Maria C. Palacios</t>
  </si>
  <si>
    <t>Maria F. Vasquez</t>
  </si>
  <si>
    <t>Mery Gómez</t>
  </si>
  <si>
    <t>Sarita Percy V.</t>
  </si>
  <si>
    <t>Antioquia Artística</t>
  </si>
  <si>
    <t>Juez arbitro :</t>
  </si>
  <si>
    <t>Mesa :</t>
  </si>
  <si>
    <t>1</t>
  </si>
  <si>
    <t>2</t>
  </si>
  <si>
    <t>3</t>
  </si>
  <si>
    <t>4</t>
  </si>
  <si>
    <t>5</t>
  </si>
  <si>
    <t>6</t>
  </si>
  <si>
    <t>7</t>
  </si>
  <si>
    <t>Prom. X GD</t>
  </si>
  <si>
    <t>Prom.</t>
  </si>
  <si>
    <t>ORDEN</t>
  </si>
  <si>
    <t>N.A</t>
  </si>
  <si>
    <t>Op 1 G1</t>
  </si>
  <si>
    <t>Op 2 G1</t>
  </si>
  <si>
    <t>Tipo</t>
  </si>
  <si>
    <t>Formato para Registro Impar</t>
  </si>
  <si>
    <t>Formato para Registro NoCompite</t>
  </si>
  <si>
    <t>Asignado</t>
  </si>
  <si>
    <t>Nombre</t>
  </si>
  <si>
    <t>Disponibles</t>
  </si>
  <si>
    <t>Op 1 G2</t>
  </si>
  <si>
    <t>Op 1 G3</t>
  </si>
  <si>
    <t>Op 2 G3</t>
  </si>
  <si>
    <t>Op 2 G2</t>
  </si>
  <si>
    <t>Cod</t>
  </si>
  <si>
    <t>Grupo</t>
  </si>
  <si>
    <t>Cód</t>
  </si>
  <si>
    <t>Descripcion</t>
  </si>
  <si>
    <t>Obl. 2</t>
  </si>
  <si>
    <t>Obl. 1</t>
  </si>
  <si>
    <t>Grupo opcional escogido</t>
  </si>
  <si>
    <t>Formato para registro de una deportista</t>
  </si>
  <si>
    <t>Categoria</t>
  </si>
  <si>
    <t>Infantil</t>
  </si>
  <si>
    <t xml:space="preserve">Categoria : </t>
  </si>
  <si>
    <t>Juvenil</t>
  </si>
  <si>
    <t>Jupiter</t>
  </si>
  <si>
    <t>Albatross Half Twist</t>
  </si>
  <si>
    <t>240a</t>
  </si>
  <si>
    <t>Porpoise Continuous Spin 720°</t>
  </si>
  <si>
    <t>355g</t>
  </si>
  <si>
    <t>Oceanea</t>
  </si>
  <si>
    <t>Swordtail</t>
  </si>
  <si>
    <t>Seagull</t>
  </si>
  <si>
    <t>Ariana</t>
  </si>
  <si>
    <t>Rio</t>
  </si>
  <si>
    <t>-</t>
  </si>
  <si>
    <t>AQUASWIM</t>
  </si>
  <si>
    <t>Lina Zapata</t>
  </si>
  <si>
    <t>Angela Gómez</t>
  </si>
  <si>
    <t>Valentina Barajas</t>
  </si>
  <si>
    <t>Op. 1</t>
  </si>
  <si>
    <t>Op. 2</t>
  </si>
  <si>
    <t>Cód Fig.</t>
  </si>
  <si>
    <t>ESTRELLAS DE ANTIOQUIA</t>
  </si>
  <si>
    <t>SINCROANTIOQUIA NADO</t>
  </si>
  <si>
    <t>SELECCIÃ“N ANTIOQUIA</t>
  </si>
  <si>
    <t>TRANSFERENCIA</t>
  </si>
  <si>
    <t>maria fernanda hincapie arcila</t>
  </si>
  <si>
    <t>sara isabela doria rodriguez</t>
  </si>
  <si>
    <t>maria isabel achuri monsalve</t>
  </si>
  <si>
    <t>maria antonia montoya lozada</t>
  </si>
  <si>
    <t>diana sofia rico martinez</t>
  </si>
  <si>
    <t>luciana isabel castaÃ±o gÃ³mez</t>
  </si>
  <si>
    <t>alma abril revelo lozano</t>
  </si>
  <si>
    <t>maria isabel gutierrez orozco</t>
  </si>
  <si>
    <t>Festival infantil departamental Fase I</t>
  </si>
  <si>
    <t>Abril 23 de 2022</t>
  </si>
  <si>
    <t>maria antonia samaca carvajal</t>
  </si>
  <si>
    <t>ana sofia ramirez pereira</t>
  </si>
  <si>
    <t>mariana posada martinez</t>
  </si>
  <si>
    <t>luciana ciro aguilar</t>
  </si>
  <si>
    <t>isabella usquiano guarin</t>
  </si>
  <si>
    <t>valentina forero bustamante</t>
  </si>
  <si>
    <t>maria paz acosta palacio</t>
  </si>
  <si>
    <t>manuela garcÃa zapata</t>
  </si>
  <si>
    <t>melisa salazar ramirez</t>
  </si>
  <si>
    <t>violeta franco pineda</t>
  </si>
  <si>
    <t>andres trujillo ramos</t>
  </si>
  <si>
    <t>wayra hoyos rengifo</t>
  </si>
  <si>
    <t>violeta betancur caÃ±on</t>
  </si>
  <si>
    <t>ana maria osorio grisales</t>
  </si>
  <si>
    <t>luciana gaviria agudelo</t>
  </si>
  <si>
    <t>valeria muÃ±oz ruiz</t>
  </si>
  <si>
    <t>sara arenas alvarez</t>
  </si>
  <si>
    <t>susana salazar martinez</t>
  </si>
  <si>
    <t>luciana fonseca machado</t>
  </si>
  <si>
    <t>valery roldan alzate</t>
  </si>
  <si>
    <t>isabella rua zamarra</t>
  </si>
  <si>
    <t>susana ruiz villa</t>
  </si>
  <si>
    <t>sofia lugo morales</t>
  </si>
  <si>
    <t>sara cotes suaza</t>
  </si>
  <si>
    <t>valentina leyton guzman</t>
  </si>
  <si>
    <t>valeria mejÃa dÃaz</t>
  </si>
  <si>
    <t>sofÃa gÃ³mez bolivar</t>
  </si>
  <si>
    <t>emily mejia marin</t>
  </si>
  <si>
    <t>salome pardo quintero</t>
  </si>
  <si>
    <t>violeta stuart alzate</t>
  </si>
  <si>
    <t>valeria vargas jiemenez</t>
  </si>
  <si>
    <t>ana maria londoÃ±o roldan</t>
  </si>
  <si>
    <t>sara montoya rios</t>
  </si>
  <si>
    <t>juanita gonzales nevott</t>
  </si>
  <si>
    <t>valentina pulgarin pineda</t>
  </si>
  <si>
    <t>luciana aristizabal vivares</t>
  </si>
  <si>
    <t>ana sofia cifuentes restrepo</t>
  </si>
  <si>
    <t>maria angel sepÃºlveda barrien</t>
  </si>
  <si>
    <t>luciana parra goez</t>
  </si>
  <si>
    <t xml:space="preserve">Hugo Percy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</si>
</sst>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"/>
    <numFmt numFmtId="166" formatCode="0.000"/>
    <numFmt numFmtId="167" formatCode="0.0000"/>
  </numFmts>
  <fonts count="33" x14ac:knownFonts="1">
    <font>
      <sz val="11"/>
      <color theme="1"/>
      <name val="Calibri"/>
      <family val="2"/>
      <scheme val="minor"/>
    </font>
    <font>
      <b/>
      <sz val="16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trike/>
      <sz val="10"/>
      <name val="Calibri"/>
      <family val="2"/>
      <scheme val="minor"/>
    </font>
    <font>
      <sz val="10"/>
      <color indexed="81"/>
      <name val="Calibri"/>
      <family val="2"/>
    </font>
    <font>
      <i/>
      <strike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3" tint="0.59996337778862885"/>
      </left>
      <right/>
      <top style="thin">
        <color theme="3" tint="0.59996337778862885"/>
      </top>
      <bottom/>
      <diagonal/>
    </border>
    <border>
      <left/>
      <right/>
      <top style="thin">
        <color theme="3" tint="0.59996337778862885"/>
      </top>
      <bottom/>
      <diagonal/>
    </border>
    <border>
      <left/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/>
      <top/>
      <bottom/>
      <diagonal/>
    </border>
    <border>
      <left/>
      <right style="thin">
        <color theme="3" tint="0.59996337778862885"/>
      </right>
      <top/>
      <bottom/>
      <diagonal/>
    </border>
    <border>
      <left style="thin">
        <color theme="3" tint="0.59996337778862885"/>
      </left>
      <right/>
      <top/>
      <bottom style="thin">
        <color theme="3" tint="0.59996337778862885"/>
      </bottom>
      <diagonal/>
    </border>
    <border>
      <left/>
      <right/>
      <top/>
      <bottom style="thin">
        <color theme="3" tint="0.59996337778862885"/>
      </bottom>
      <diagonal/>
    </border>
    <border>
      <left/>
      <right style="thin">
        <color theme="3" tint="0.59996337778862885"/>
      </right>
      <top/>
      <bottom style="thin">
        <color theme="3" tint="0.59996337778862885"/>
      </bottom>
      <diagonal/>
    </border>
    <border>
      <left style="thin">
        <color theme="8" tint="0.59996337778862885"/>
      </left>
      <right/>
      <top style="thin">
        <color theme="8" tint="0.59996337778862885"/>
      </top>
      <bottom/>
      <diagonal/>
    </border>
    <border>
      <left/>
      <right/>
      <top style="thin">
        <color theme="8" tint="0.59996337778862885"/>
      </top>
      <bottom/>
      <diagonal/>
    </border>
    <border>
      <left/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/>
      <top/>
      <bottom/>
      <diagonal/>
    </border>
    <border>
      <left/>
      <right style="thin">
        <color theme="8" tint="0.59996337778862885"/>
      </right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2" fillId="0" borderId="0" applyFill="0" applyBorder="0" applyAlignment="0" applyProtection="0"/>
    <xf numFmtId="0" fontId="12" fillId="0" borderId="0"/>
    <xf numFmtId="0" fontId="9" fillId="0" borderId="0"/>
    <xf numFmtId="0" fontId="27" fillId="5" borderId="0" applyNumberFormat="0" applyBorder="0" applyAlignment="0" applyProtection="0"/>
  </cellStyleXfs>
  <cellXfs count="243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" fillId="0" borderId="0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1" applyFont="1" applyFill="1" applyBorder="1"/>
    <xf numFmtId="0" fontId="3" fillId="0" borderId="0" xfId="0" applyFont="1" applyFill="1" applyBorder="1" applyAlignment="1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NumberFormat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5" fillId="0" borderId="0" xfId="0" applyFont="1" applyAlignment="1">
      <alignment vertical="center"/>
    </xf>
    <xf numFmtId="0" fontId="0" fillId="0" borderId="0" xfId="0" applyFont="1"/>
    <xf numFmtId="0" fontId="16" fillId="0" borderId="0" xfId="0" applyFont="1" applyFill="1" applyBorder="1"/>
    <xf numFmtId="0" fontId="17" fillId="0" borderId="0" xfId="0" applyFont="1" applyFill="1" applyBorder="1" applyAlignment="1">
      <alignment horizontal="center"/>
    </xf>
    <xf numFmtId="165" fontId="18" fillId="0" borderId="6" xfId="0" applyNumberFormat="1" applyFont="1" applyFill="1" applyBorder="1" applyAlignment="1">
      <alignment horizontal="center" vertical="center"/>
    </xf>
    <xf numFmtId="165" fontId="18" fillId="2" borderId="6" xfId="0" applyNumberFormat="1" applyFont="1" applyFill="1" applyBorder="1" applyAlignment="1">
      <alignment horizontal="center" vertical="center"/>
    </xf>
    <xf numFmtId="0" fontId="18" fillId="0" borderId="0" xfId="0" applyFont="1"/>
    <xf numFmtId="0" fontId="17" fillId="0" borderId="0" xfId="0" applyNumberFormat="1" applyFont="1" applyFill="1" applyBorder="1" applyAlignment="1">
      <alignment horizontal="center" vertical="center" wrapText="1"/>
    </xf>
    <xf numFmtId="0" fontId="17" fillId="0" borderId="0" xfId="0" applyNumberFormat="1" applyFont="1" applyFill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166" fontId="18" fillId="0" borderId="0" xfId="0" applyNumberFormat="1" applyFont="1" applyFill="1"/>
    <xf numFmtId="1" fontId="18" fillId="0" borderId="0" xfId="0" applyNumberFormat="1" applyFont="1" applyFill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left"/>
    </xf>
    <xf numFmtId="0" fontId="18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5" fillId="0" borderId="0" xfId="0" applyFont="1" applyFill="1" applyBorder="1"/>
    <xf numFmtId="0" fontId="15" fillId="0" borderId="0" xfId="0" applyFont="1"/>
    <xf numFmtId="0" fontId="0" fillId="0" borderId="0" xfId="0" applyFont="1" applyFill="1" applyBorder="1"/>
    <xf numFmtId="0" fontId="18" fillId="0" borderId="0" xfId="0" applyFont="1" applyFill="1" applyBorder="1"/>
    <xf numFmtId="165" fontId="16" fillId="0" borderId="0" xfId="0" applyNumberFormat="1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left"/>
    </xf>
    <xf numFmtId="0" fontId="18" fillId="2" borderId="0" xfId="0" applyFont="1" applyFill="1" applyBorder="1"/>
    <xf numFmtId="0" fontId="17" fillId="0" borderId="10" xfId="0" applyFont="1" applyFill="1" applyBorder="1" applyAlignment="1">
      <alignment horizontal="left" vertical="center"/>
    </xf>
    <xf numFmtId="0" fontId="17" fillId="2" borderId="12" xfId="0" applyFont="1" applyFill="1" applyBorder="1" applyAlignment="1">
      <alignment horizontal="left" vertical="center"/>
    </xf>
    <xf numFmtId="0" fontId="17" fillId="2" borderId="13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24" fillId="0" borderId="10" xfId="0" applyFont="1" applyFill="1" applyBorder="1"/>
    <xf numFmtId="0" fontId="24" fillId="2" borderId="10" xfId="0" applyFont="1" applyFill="1" applyBorder="1"/>
    <xf numFmtId="0" fontId="18" fillId="2" borderId="13" xfId="0" applyFont="1" applyFill="1" applyBorder="1" applyAlignment="1">
      <alignment horizontal="left"/>
    </xf>
    <xf numFmtId="0" fontId="18" fillId="2" borderId="13" xfId="0" applyFont="1" applyFill="1" applyBorder="1"/>
    <xf numFmtId="0" fontId="18" fillId="2" borderId="13" xfId="0" applyFont="1" applyFill="1" applyBorder="1" applyAlignment="1">
      <alignment horizontal="center" vertical="center"/>
    </xf>
    <xf numFmtId="165" fontId="16" fillId="2" borderId="13" xfId="0" applyNumberFormat="1" applyFont="1" applyFill="1" applyBorder="1" applyAlignment="1">
      <alignment horizontal="center" vertical="center"/>
    </xf>
    <xf numFmtId="0" fontId="10" fillId="2" borderId="7" xfId="1" applyFont="1" applyFill="1" applyBorder="1" applyAlignment="1">
      <alignment horizontal="right"/>
    </xf>
    <xf numFmtId="0" fontId="10" fillId="2" borderId="8" xfId="1" applyFont="1" applyFill="1" applyBorder="1" applyAlignment="1"/>
    <xf numFmtId="0" fontId="10" fillId="2" borderId="9" xfId="1" applyFont="1" applyFill="1" applyBorder="1" applyAlignment="1"/>
    <xf numFmtId="0" fontId="3" fillId="2" borderId="12" xfId="0" applyFont="1" applyFill="1" applyBorder="1" applyAlignment="1">
      <alignment horizontal="right"/>
    </xf>
    <xf numFmtId="0" fontId="10" fillId="2" borderId="13" xfId="1" applyFont="1" applyFill="1" applyBorder="1" applyAlignment="1"/>
    <xf numFmtId="0" fontId="10" fillId="2" borderId="14" xfId="1" applyFont="1" applyFill="1" applyBorder="1" applyAlignment="1"/>
    <xf numFmtId="0" fontId="10" fillId="0" borderId="0" xfId="1" applyFont="1" applyFill="1" applyBorder="1" applyAlignment="1"/>
    <xf numFmtId="0" fontId="17" fillId="3" borderId="8" xfId="0" applyFont="1" applyFill="1" applyBorder="1" applyAlignment="1">
      <alignment horizontal="center" vertical="center"/>
    </xf>
    <xf numFmtId="0" fontId="8" fillId="0" borderId="10" xfId="1" applyFont="1" applyFill="1" applyBorder="1" applyAlignment="1"/>
    <xf numFmtId="0" fontId="8" fillId="2" borderId="10" xfId="1" applyFont="1" applyFill="1" applyBorder="1" applyAlignment="1"/>
    <xf numFmtId="0" fontId="8" fillId="0" borderId="12" xfId="1" applyFont="1" applyFill="1" applyBorder="1" applyAlignment="1"/>
    <xf numFmtId="0" fontId="8" fillId="0" borderId="18" xfId="1" applyFont="1" applyFill="1" applyBorder="1" applyAlignment="1">
      <alignment horizontal="left"/>
    </xf>
    <xf numFmtId="0" fontId="8" fillId="2" borderId="18" xfId="1" applyFont="1" applyFill="1" applyBorder="1" applyAlignment="1">
      <alignment horizontal="left"/>
    </xf>
    <xf numFmtId="0" fontId="8" fillId="0" borderId="20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right" vertical="center"/>
    </xf>
    <xf numFmtId="0" fontId="3" fillId="0" borderId="0" xfId="0" applyFont="1" applyAlignment="1">
      <alignment horizontal="center"/>
    </xf>
    <xf numFmtId="165" fontId="0" fillId="0" borderId="0" xfId="0" applyNumberFormat="1" applyFill="1" applyBorder="1"/>
    <xf numFmtId="165" fontId="0" fillId="0" borderId="0" xfId="0" applyNumberFormat="1"/>
    <xf numFmtId="0" fontId="18" fillId="0" borderId="10" xfId="0" applyFont="1" applyFill="1" applyBorder="1" applyAlignment="1">
      <alignment horizontal="left"/>
    </xf>
    <xf numFmtId="0" fontId="18" fillId="2" borderId="12" xfId="0" applyFont="1" applyFill="1" applyBorder="1" applyAlignment="1">
      <alignment horizontal="left"/>
    </xf>
    <xf numFmtId="0" fontId="10" fillId="2" borderId="13" xfId="1" applyFont="1" applyFill="1" applyBorder="1" applyAlignment="1">
      <alignment horizontal="right"/>
    </xf>
    <xf numFmtId="0" fontId="27" fillId="5" borderId="0" xfId="5" applyBorder="1" applyAlignment="1">
      <alignment horizontal="center"/>
    </xf>
    <xf numFmtId="0" fontId="27" fillId="5" borderId="0" xfId="5" applyBorder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applyFill="1" applyBorder="1" applyAlignment="1">
      <alignment horizontal="left"/>
    </xf>
    <xf numFmtId="0" fontId="26" fillId="6" borderId="23" xfId="0" applyFont="1" applyFill="1" applyBorder="1" applyAlignment="1">
      <alignment horizontal="center" vertical="center"/>
    </xf>
    <xf numFmtId="0" fontId="26" fillId="6" borderId="24" xfId="0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2" fontId="18" fillId="0" borderId="6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1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textRotation="180"/>
    </xf>
    <xf numFmtId="165" fontId="16" fillId="0" borderId="1" xfId="0" applyNumberFormat="1" applyFont="1" applyFill="1" applyBorder="1" applyAlignment="1">
      <alignment horizontal="center" vertical="center" textRotation="180"/>
    </xf>
    <xf numFmtId="166" fontId="16" fillId="0" borderId="1" xfId="0" applyNumberFormat="1" applyFont="1" applyFill="1" applyBorder="1" applyAlignment="1">
      <alignment horizontal="center" vertical="center" textRotation="180" wrapText="1" readingOrder="1"/>
    </xf>
    <xf numFmtId="0" fontId="16" fillId="0" borderId="1" xfId="0" applyFont="1" applyFill="1" applyBorder="1" applyAlignment="1">
      <alignment horizontal="center" vertical="center" wrapText="1"/>
    </xf>
    <xf numFmtId="166" fontId="16" fillId="0" borderId="1" xfId="0" applyNumberFormat="1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165" fontId="18" fillId="0" borderId="25" xfId="0" applyNumberFormat="1" applyFont="1" applyFill="1" applyBorder="1" applyAlignment="1">
      <alignment horizontal="center" vertical="center"/>
    </xf>
    <xf numFmtId="165" fontId="18" fillId="2" borderId="25" xfId="0" applyNumberFormat="1" applyFont="1" applyFill="1" applyBorder="1" applyAlignment="1">
      <alignment horizontal="center" vertical="center"/>
    </xf>
    <xf numFmtId="165" fontId="18" fillId="0" borderId="28" xfId="0" applyNumberFormat="1" applyFont="1" applyFill="1" applyBorder="1" applyAlignment="1">
      <alignment horizontal="center" vertical="center"/>
    </xf>
    <xf numFmtId="165" fontId="18" fillId="0" borderId="29" xfId="0" applyNumberFormat="1" applyFont="1" applyFill="1" applyBorder="1" applyAlignment="1">
      <alignment horizontal="center" vertical="center"/>
    </xf>
    <xf numFmtId="165" fontId="18" fillId="0" borderId="30" xfId="0" applyNumberFormat="1" applyFont="1" applyFill="1" applyBorder="1" applyAlignment="1">
      <alignment horizontal="center" vertical="center"/>
    </xf>
    <xf numFmtId="165" fontId="18" fillId="0" borderId="31" xfId="0" applyNumberFormat="1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vertical="center"/>
    </xf>
    <xf numFmtId="0" fontId="16" fillId="0" borderId="3" xfId="0" applyFont="1" applyFill="1" applyBorder="1" applyAlignment="1">
      <alignment vertical="center"/>
    </xf>
    <xf numFmtId="2" fontId="18" fillId="0" borderId="25" xfId="0" applyNumberFormat="1" applyFont="1" applyFill="1" applyBorder="1" applyAlignment="1">
      <alignment horizontal="center" vertical="center"/>
    </xf>
    <xf numFmtId="167" fontId="16" fillId="0" borderId="4" xfId="0" applyNumberFormat="1" applyFont="1" applyFill="1" applyBorder="1" applyAlignment="1">
      <alignment vertical="center"/>
    </xf>
    <xf numFmtId="167" fontId="16" fillId="0" borderId="2" xfId="0" applyNumberFormat="1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0" borderId="27" xfId="0" applyFont="1" applyFill="1" applyBorder="1" applyAlignment="1">
      <alignment vertical="center"/>
    </xf>
    <xf numFmtId="2" fontId="18" fillId="0" borderId="28" xfId="0" applyNumberFormat="1" applyFont="1" applyFill="1" applyBorder="1" applyAlignment="1">
      <alignment horizontal="center" vertical="center"/>
    </xf>
    <xf numFmtId="167" fontId="16" fillId="0" borderId="26" xfId="0" applyNumberFormat="1" applyFont="1" applyFill="1" applyBorder="1" applyAlignment="1">
      <alignment vertical="center"/>
    </xf>
    <xf numFmtId="165" fontId="18" fillId="2" borderId="29" xfId="0" applyNumberFormat="1" applyFont="1" applyFill="1" applyBorder="1" applyAlignment="1">
      <alignment horizontal="center" vertical="center"/>
    </xf>
    <xf numFmtId="165" fontId="18" fillId="2" borderId="30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/>
    <xf numFmtId="0" fontId="1" fillId="0" borderId="0" xfId="0" applyFont="1" applyFill="1" applyBorder="1" applyAlignment="1"/>
    <xf numFmtId="0" fontId="21" fillId="0" borderId="0" xfId="0" applyFont="1" applyAlignment="1"/>
    <xf numFmtId="0" fontId="23" fillId="0" borderId="0" xfId="0" applyFont="1" applyAlignment="1"/>
    <xf numFmtId="165" fontId="18" fillId="2" borderId="0" xfId="0" applyNumberFormat="1" applyFont="1" applyFill="1" applyBorder="1" applyAlignment="1">
      <alignment horizontal="center" vertical="center"/>
    </xf>
    <xf numFmtId="165" fontId="0" fillId="0" borderId="0" xfId="0" applyNumberFormat="1" applyFill="1"/>
    <xf numFmtId="165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 vertical="center"/>
    </xf>
    <xf numFmtId="165" fontId="8" fillId="0" borderId="0" xfId="0" applyNumberFormat="1" applyFont="1" applyFill="1" applyAlignment="1">
      <alignment horizontal="center" vertical="center"/>
    </xf>
    <xf numFmtId="0" fontId="0" fillId="0" borderId="0" xfId="0" applyNumberFormat="1" applyFill="1"/>
    <xf numFmtId="0" fontId="18" fillId="2" borderId="0" xfId="0" applyFont="1" applyFill="1" applyBorder="1" applyAlignment="1">
      <alignment horizontal="center"/>
    </xf>
    <xf numFmtId="0" fontId="18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vertical="center"/>
    </xf>
    <xf numFmtId="0" fontId="0" fillId="0" borderId="0" xfId="0" applyFont="1" applyFill="1"/>
    <xf numFmtId="0" fontId="0" fillId="0" borderId="0" xfId="0" applyNumberFormat="1" applyFill="1" applyAlignment="1">
      <alignment vertical="center"/>
    </xf>
    <xf numFmtId="0" fontId="0" fillId="0" borderId="0" xfId="0" applyNumberFormat="1" applyFill="1" applyAlignment="1">
      <alignment horizontal="left" vertical="center"/>
    </xf>
    <xf numFmtId="0" fontId="8" fillId="0" borderId="0" xfId="0" applyNumberFormat="1" applyFont="1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vertical="center"/>
    </xf>
    <xf numFmtId="0" fontId="18" fillId="0" borderId="0" xfId="0" applyNumberFormat="1" applyFont="1" applyFill="1"/>
    <xf numFmtId="0" fontId="17" fillId="0" borderId="0" xfId="0" applyNumberFormat="1" applyFont="1" applyFill="1" applyAlignment="1">
      <alignment horizontal="center" vertical="center"/>
    </xf>
    <xf numFmtId="165" fontId="16" fillId="0" borderId="0" xfId="0" applyNumberFormat="1" applyFont="1" applyFill="1" applyBorder="1" applyAlignment="1">
      <alignment vertical="center"/>
    </xf>
    <xf numFmtId="0" fontId="16" fillId="0" borderId="1" xfId="0" applyNumberFormat="1" applyFont="1" applyFill="1" applyBorder="1" applyAlignment="1">
      <alignment horizontal="center" vertical="center"/>
    </xf>
    <xf numFmtId="166" fontId="16" fillId="0" borderId="39" xfId="0" applyNumberFormat="1" applyFont="1" applyFill="1" applyBorder="1" applyAlignment="1">
      <alignment horizontal="right" vertical="center"/>
    </xf>
    <xf numFmtId="166" fontId="16" fillId="0" borderId="40" xfId="0" applyNumberFormat="1" applyFont="1" applyFill="1" applyBorder="1" applyAlignment="1">
      <alignment horizontal="right" vertical="center"/>
    </xf>
    <xf numFmtId="166" fontId="16" fillId="0" borderId="41" xfId="0" applyNumberFormat="1" applyFont="1" applyFill="1" applyBorder="1" applyAlignment="1">
      <alignment horizontal="right" vertical="center"/>
    </xf>
    <xf numFmtId="166" fontId="18" fillId="0" borderId="4" xfId="0" applyNumberFormat="1" applyFont="1" applyFill="1" applyBorder="1" applyAlignment="1">
      <alignment vertical="center"/>
    </xf>
    <xf numFmtId="166" fontId="18" fillId="0" borderId="2" xfId="0" applyNumberFormat="1" applyFont="1" applyFill="1" applyBorder="1" applyAlignment="1">
      <alignment vertical="center"/>
    </xf>
    <xf numFmtId="166" fontId="18" fillId="0" borderId="26" xfId="0" applyNumberFormat="1" applyFont="1" applyFill="1" applyBorder="1" applyAlignment="1">
      <alignment vertical="center"/>
    </xf>
    <xf numFmtId="165" fontId="28" fillId="0" borderId="42" xfId="0" applyNumberFormat="1" applyFont="1" applyFill="1" applyBorder="1" applyAlignment="1">
      <alignment horizontal="right" vertical="center"/>
    </xf>
    <xf numFmtId="165" fontId="28" fillId="0" borderId="43" xfId="0" applyNumberFormat="1" applyFont="1" applyFill="1" applyBorder="1" applyAlignment="1">
      <alignment horizontal="right" vertical="center"/>
    </xf>
    <xf numFmtId="165" fontId="28" fillId="0" borderId="44" xfId="0" applyNumberFormat="1" applyFont="1" applyFill="1" applyBorder="1" applyAlignment="1">
      <alignment horizontal="right" vertical="center"/>
    </xf>
    <xf numFmtId="0" fontId="24" fillId="3" borderId="4" xfId="0" applyFont="1" applyFill="1" applyBorder="1" applyAlignment="1">
      <alignment horizontal="center" vertical="center"/>
    </xf>
    <xf numFmtId="0" fontId="16" fillId="3" borderId="32" xfId="0" quotePrefix="1" applyFont="1" applyFill="1" applyBorder="1" applyAlignment="1">
      <alignment horizontal="center" vertical="center"/>
    </xf>
    <xf numFmtId="165" fontId="18" fillId="3" borderId="33" xfId="0" quotePrefix="1" applyNumberFormat="1" applyFont="1" applyFill="1" applyBorder="1" applyAlignment="1">
      <alignment horizontal="center" vertical="center"/>
    </xf>
    <xf numFmtId="165" fontId="18" fillId="3" borderId="25" xfId="0" applyNumberFormat="1" applyFont="1" applyFill="1" applyBorder="1" applyAlignment="1">
      <alignment horizontal="center" vertical="center"/>
    </xf>
    <xf numFmtId="165" fontId="18" fillId="3" borderId="34" xfId="0" applyNumberFormat="1" applyFont="1" applyFill="1" applyBorder="1" applyAlignment="1">
      <alignment horizontal="center" vertical="center"/>
    </xf>
    <xf numFmtId="165" fontId="19" fillId="3" borderId="29" xfId="0" applyNumberFormat="1" applyFont="1" applyFill="1" applyBorder="1" applyAlignment="1">
      <alignment horizontal="center" vertical="center"/>
    </xf>
    <xf numFmtId="165" fontId="19" fillId="3" borderId="25" xfId="0" applyNumberFormat="1" applyFont="1" applyFill="1" applyBorder="1" applyAlignment="1">
      <alignment horizontal="center" vertical="center"/>
    </xf>
    <xf numFmtId="2" fontId="19" fillId="3" borderId="25" xfId="0" applyNumberFormat="1" applyFont="1" applyFill="1" applyBorder="1" applyAlignment="1">
      <alignment horizontal="center" vertical="center"/>
    </xf>
    <xf numFmtId="166" fontId="17" fillId="3" borderId="25" xfId="0" applyNumberFormat="1" applyFont="1" applyFill="1" applyBorder="1" applyAlignment="1">
      <alignment horizontal="right" vertical="center"/>
    </xf>
    <xf numFmtId="166" fontId="29" fillId="3" borderId="39" xfId="0" applyNumberFormat="1" applyFont="1" applyFill="1" applyBorder="1" applyAlignment="1">
      <alignment horizontal="right" vertical="center"/>
    </xf>
    <xf numFmtId="166" fontId="19" fillId="3" borderId="4" xfId="0" applyNumberFormat="1" applyFont="1" applyFill="1" applyBorder="1" applyAlignment="1">
      <alignment vertical="center"/>
    </xf>
    <xf numFmtId="167" fontId="17" fillId="3" borderId="4" xfId="0" applyNumberFormat="1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6" fillId="3" borderId="32" xfId="0" applyFont="1" applyFill="1" applyBorder="1" applyAlignment="1">
      <alignment horizontal="center" vertical="center"/>
    </xf>
    <xf numFmtId="165" fontId="18" fillId="3" borderId="35" xfId="0" applyNumberFormat="1" applyFont="1" applyFill="1" applyBorder="1" applyAlignment="1">
      <alignment horizontal="center" vertical="center"/>
    </xf>
    <xf numFmtId="165" fontId="18" fillId="3" borderId="6" xfId="0" applyNumberFormat="1" applyFont="1" applyFill="1" applyBorder="1" applyAlignment="1">
      <alignment horizontal="center" vertical="center"/>
    </xf>
    <xf numFmtId="165" fontId="18" fillId="3" borderId="36" xfId="0" applyNumberFormat="1" applyFont="1" applyFill="1" applyBorder="1" applyAlignment="1">
      <alignment horizontal="center" vertical="center"/>
    </xf>
    <xf numFmtId="165" fontId="19" fillId="3" borderId="30" xfId="0" applyNumberFormat="1" applyFont="1" applyFill="1" applyBorder="1" applyAlignment="1">
      <alignment horizontal="center" vertical="center"/>
    </xf>
    <xf numFmtId="165" fontId="19" fillId="3" borderId="6" xfId="0" applyNumberFormat="1" applyFont="1" applyFill="1" applyBorder="1" applyAlignment="1">
      <alignment horizontal="center" vertical="center"/>
    </xf>
    <xf numFmtId="2" fontId="19" fillId="3" borderId="6" xfId="0" applyNumberFormat="1" applyFont="1" applyFill="1" applyBorder="1" applyAlignment="1">
      <alignment horizontal="center" vertical="center"/>
    </xf>
    <xf numFmtId="166" fontId="17" fillId="3" borderId="6" xfId="0" applyNumberFormat="1" applyFont="1" applyFill="1" applyBorder="1" applyAlignment="1">
      <alignment horizontal="right" vertical="center"/>
    </xf>
    <xf numFmtId="166" fontId="29" fillId="3" borderId="40" xfId="0" applyNumberFormat="1" applyFont="1" applyFill="1" applyBorder="1" applyAlignment="1">
      <alignment horizontal="right" vertical="center"/>
    </xf>
    <xf numFmtId="166" fontId="19" fillId="3" borderId="2" xfId="0" applyNumberFormat="1" applyFont="1" applyFill="1" applyBorder="1" applyAlignment="1">
      <alignment vertical="center"/>
    </xf>
    <xf numFmtId="167" fontId="17" fillId="3" borderId="2" xfId="0" applyNumberFormat="1" applyFont="1" applyFill="1" applyBorder="1" applyAlignment="1">
      <alignment vertical="center"/>
    </xf>
    <xf numFmtId="0" fontId="16" fillId="3" borderId="26" xfId="0" applyFont="1" applyFill="1" applyBorder="1" applyAlignment="1">
      <alignment horizontal="center" vertical="center"/>
    </xf>
    <xf numFmtId="0" fontId="16" fillId="3" borderId="27" xfId="0" applyFont="1" applyFill="1" applyBorder="1" applyAlignment="1">
      <alignment vertical="center"/>
    </xf>
    <xf numFmtId="0" fontId="16" fillId="3" borderId="26" xfId="0" applyFont="1" applyFill="1" applyBorder="1" applyAlignment="1">
      <alignment vertical="center"/>
    </xf>
    <xf numFmtId="165" fontId="18" fillId="3" borderId="37" xfId="0" applyNumberFormat="1" applyFont="1" applyFill="1" applyBorder="1" applyAlignment="1">
      <alignment horizontal="center" vertical="center"/>
    </xf>
    <xf numFmtId="165" fontId="18" fillId="3" borderId="28" xfId="0" applyNumberFormat="1" applyFont="1" applyFill="1" applyBorder="1" applyAlignment="1">
      <alignment horizontal="center" vertical="center"/>
    </xf>
    <xf numFmtId="165" fontId="18" fillId="3" borderId="38" xfId="0" applyNumberFormat="1" applyFont="1" applyFill="1" applyBorder="1" applyAlignment="1">
      <alignment horizontal="center" vertical="center"/>
    </xf>
    <xf numFmtId="165" fontId="19" fillId="3" borderId="31" xfId="0" applyNumberFormat="1" applyFont="1" applyFill="1" applyBorder="1" applyAlignment="1">
      <alignment horizontal="center" vertical="center"/>
    </xf>
    <xf numFmtId="165" fontId="19" fillId="3" borderId="28" xfId="0" applyNumberFormat="1" applyFont="1" applyFill="1" applyBorder="1" applyAlignment="1">
      <alignment horizontal="center" vertical="center"/>
    </xf>
    <xf numFmtId="2" fontId="19" fillId="3" borderId="28" xfId="0" applyNumberFormat="1" applyFont="1" applyFill="1" applyBorder="1" applyAlignment="1">
      <alignment horizontal="center" vertical="center"/>
    </xf>
    <xf numFmtId="166" fontId="17" fillId="3" borderId="28" xfId="0" applyNumberFormat="1" applyFont="1" applyFill="1" applyBorder="1" applyAlignment="1">
      <alignment horizontal="right" vertical="center"/>
    </xf>
    <xf numFmtId="166" fontId="29" fillId="3" borderId="41" xfId="0" applyNumberFormat="1" applyFont="1" applyFill="1" applyBorder="1" applyAlignment="1">
      <alignment horizontal="right" vertical="center"/>
    </xf>
    <xf numFmtId="166" fontId="19" fillId="3" borderId="26" xfId="0" applyNumberFormat="1" applyFont="1" applyFill="1" applyBorder="1" applyAlignment="1">
      <alignment vertical="center"/>
    </xf>
    <xf numFmtId="167" fontId="17" fillId="3" borderId="26" xfId="0" applyNumberFormat="1" applyFont="1" applyFill="1" applyBorder="1" applyAlignment="1">
      <alignment vertical="center"/>
    </xf>
    <xf numFmtId="0" fontId="30" fillId="3" borderId="3" xfId="0" applyFont="1" applyFill="1" applyBorder="1" applyAlignment="1">
      <alignment vertical="center"/>
    </xf>
    <xf numFmtId="0" fontId="30" fillId="3" borderId="4" xfId="0" applyFont="1" applyFill="1" applyBorder="1" applyAlignment="1">
      <alignment vertical="center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27" fillId="5" borderId="0" xfId="5" applyBorder="1" applyAlignment="1">
      <alignment horizontal="left"/>
    </xf>
    <xf numFmtId="0" fontId="0" fillId="0" borderId="0" xfId="0" applyFill="1" applyAlignment="1">
      <alignment horizontal="center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9" fillId="3" borderId="8" xfId="0" applyFont="1" applyFill="1" applyBorder="1" applyAlignment="1">
      <alignment horizontal="center" vertical="center"/>
    </xf>
    <xf numFmtId="0" fontId="10" fillId="4" borderId="15" xfId="1" applyFont="1" applyFill="1" applyBorder="1" applyAlignment="1">
      <alignment horizontal="center"/>
    </xf>
    <xf numFmtId="0" fontId="10" fillId="4" borderId="16" xfId="1" applyFont="1" applyFill="1" applyBorder="1" applyAlignment="1">
      <alignment horizontal="center"/>
    </xf>
    <xf numFmtId="0" fontId="10" fillId="4" borderId="17" xfId="1" applyFont="1" applyFill="1" applyBorder="1" applyAlignment="1">
      <alignment horizontal="center"/>
    </xf>
    <xf numFmtId="0" fontId="17" fillId="3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165" fontId="13" fillId="2" borderId="0" xfId="0" applyNumberFormat="1" applyFont="1" applyFill="1" applyBorder="1" applyAlignment="1">
      <alignment horizontal="center" vertical="center"/>
    </xf>
    <xf numFmtId="165" fontId="13" fillId="2" borderId="11" xfId="0" applyNumberFormat="1" applyFont="1" applyFill="1" applyBorder="1" applyAlignment="1">
      <alignment horizontal="center" vertical="center"/>
    </xf>
    <xf numFmtId="165" fontId="13" fillId="2" borderId="13" xfId="0" applyNumberFormat="1" applyFont="1" applyFill="1" applyBorder="1" applyAlignment="1">
      <alignment horizontal="center" vertical="center"/>
    </xf>
    <xf numFmtId="165" fontId="13" fillId="2" borderId="14" xfId="0" applyNumberFormat="1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10" fillId="4" borderId="7" xfId="1" applyFont="1" applyFill="1" applyBorder="1" applyAlignment="1">
      <alignment horizontal="center"/>
    </xf>
    <xf numFmtId="0" fontId="10" fillId="4" borderId="8" xfId="1" applyFont="1" applyFill="1" applyBorder="1" applyAlignment="1">
      <alignment horizontal="center"/>
    </xf>
    <xf numFmtId="0" fontId="10" fillId="4" borderId="9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left"/>
    </xf>
    <xf numFmtId="0" fontId="8" fillId="0" borderId="11" xfId="1" applyFont="1" applyFill="1" applyBorder="1" applyAlignment="1">
      <alignment horizontal="left"/>
    </xf>
    <xf numFmtId="0" fontId="8" fillId="2" borderId="0" xfId="1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8" fillId="0" borderId="13" xfId="1" applyFont="1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9" xfId="0" applyBorder="1" applyAlignment="1">
      <alignment horizontal="left"/>
    </xf>
    <xf numFmtId="0" fontId="8" fillId="0" borderId="21" xfId="1" applyFont="1" applyFill="1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16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65" fontId="16" fillId="0" borderId="1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20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0" fontId="32" fillId="0" borderId="0" xfId="0" applyFont="1" applyFill="1"/>
    <xf numFmtId="0" fontId="32" fillId="0" borderId="0" xfId="0" applyNumberFormat="1" applyFont="1" applyFill="1" applyAlignment="1">
      <alignment horizontal="center" vertical="center"/>
    </xf>
    <xf numFmtId="166" fontId="32" fillId="0" borderId="0" xfId="0" applyNumberFormat="1" applyFont="1" applyFill="1"/>
    <xf numFmtId="165" fontId="18" fillId="7" borderId="30" xfId="0" applyNumberFormat="1" applyFont="1" applyFill="1" applyBorder="1" applyAlignment="1">
      <alignment horizontal="center" vertical="center"/>
    </xf>
    <xf numFmtId="165" fontId="18" fillId="7" borderId="6" xfId="0" applyNumberFormat="1" applyFont="1" applyFill="1" applyBorder="1" applyAlignment="1">
      <alignment horizontal="center" vertical="center"/>
    </xf>
    <xf numFmtId="2" fontId="18" fillId="7" borderId="6" xfId="0" applyNumberFormat="1" applyFont="1" applyFill="1" applyBorder="1" applyAlignment="1">
      <alignment horizontal="center" vertical="center"/>
    </xf>
    <xf numFmtId="166" fontId="16" fillId="7" borderId="40" xfId="0" applyNumberFormat="1" applyFont="1" applyFill="1" applyBorder="1" applyAlignment="1">
      <alignment horizontal="right" vertical="center"/>
    </xf>
    <xf numFmtId="165" fontId="28" fillId="7" borderId="43" xfId="0" applyNumberFormat="1" applyFont="1" applyFill="1" applyBorder="1" applyAlignment="1">
      <alignment horizontal="right" vertical="center"/>
    </xf>
    <xf numFmtId="165" fontId="18" fillId="7" borderId="31" xfId="0" applyNumberFormat="1" applyFont="1" applyFill="1" applyBorder="1" applyAlignment="1">
      <alignment horizontal="center" vertical="center"/>
    </xf>
    <xf numFmtId="165" fontId="18" fillId="7" borderId="28" xfId="0" applyNumberFormat="1" applyFont="1" applyFill="1" applyBorder="1" applyAlignment="1">
      <alignment horizontal="center" vertical="center"/>
    </xf>
    <xf numFmtId="2" fontId="18" fillId="7" borderId="28" xfId="0" applyNumberFormat="1" applyFont="1" applyFill="1" applyBorder="1" applyAlignment="1">
      <alignment horizontal="center" vertical="center"/>
    </xf>
    <xf numFmtId="166" fontId="16" fillId="7" borderId="41" xfId="0" applyNumberFormat="1" applyFont="1" applyFill="1" applyBorder="1" applyAlignment="1">
      <alignment horizontal="right" vertical="center"/>
    </xf>
    <xf numFmtId="165" fontId="28" fillId="7" borderId="44" xfId="0" applyNumberFormat="1" applyFont="1" applyFill="1" applyBorder="1" applyAlignment="1">
      <alignment horizontal="right" vertical="center"/>
    </xf>
  </cellXfs>
  <cellStyles count="6">
    <cellStyle name="Énfasis1" xfId="5" builtinId="29"/>
    <cellStyle name="Millares 2" xfId="2" xr:uid="{783445E6-0F0E-41B0-A962-355CF487364F}"/>
    <cellStyle name="Normal" xfId="0" builtinId="0"/>
    <cellStyle name="Normal 2" xfId="1" xr:uid="{F1E4ADD3-F3D6-4E72-97BF-76AC55324B9E}"/>
    <cellStyle name="Normal 3" xfId="4" xr:uid="{7C02D466-6D9D-4ED0-929E-A3A84D5FB2D1}"/>
    <cellStyle name="Normal 4" xfId="3" xr:uid="{C79B1DDC-15C6-49A4-AEAC-26572BB5FA54}"/>
  </cellStyles>
  <dxfs count="46">
    <dxf>
      <fill>
        <patternFill>
          <bgColor theme="4" tint="0.59996337778862885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0.0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6" formatCode="0.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0.0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00"/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0.0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B2B2B2"/>
      <color rgb="FF808080"/>
      <color rgb="FFE4E4E4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101664</xdr:colOff>
      <xdr:row>0</xdr:row>
      <xdr:rowOff>1525</xdr:rowOff>
    </xdr:from>
    <xdr:to>
      <xdr:col>11</xdr:col>
      <xdr:colOff>165037</xdr:colOff>
      <xdr:row>4</xdr:row>
      <xdr:rowOff>103252</xdr:rowOff>
    </xdr:to>
    <xdr:pic>
      <xdr:nvPicPr>
        <xdr:cNvPr id="5" name="2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2489" y="1525"/>
          <a:ext cx="1863598" cy="8256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14</xdr:row>
          <xdr:rowOff>38100</xdr:rowOff>
        </xdr:from>
        <xdr:to>
          <xdr:col>15</xdr:col>
          <xdr:colOff>60960</xdr:colOff>
          <xdr:row>16</xdr:row>
          <xdr:rowOff>114300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Planilla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16</xdr:row>
          <xdr:rowOff>167640</xdr:rowOff>
        </xdr:from>
        <xdr:to>
          <xdr:col>15</xdr:col>
          <xdr:colOff>30480</xdr:colOff>
          <xdr:row>19</xdr:row>
          <xdr:rowOff>45720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129540</xdr:colOff>
          <xdr:row>21</xdr:row>
          <xdr:rowOff>7620</xdr:rowOff>
        </xdr:from>
        <xdr:to>
          <xdr:col>15</xdr:col>
          <xdr:colOff>38100</xdr:colOff>
          <xdr:row>23</xdr:row>
          <xdr:rowOff>60960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Planilla y posiciones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24</xdr:row>
          <xdr:rowOff>53340</xdr:rowOff>
        </xdr:from>
        <xdr:to>
          <xdr:col>15</xdr:col>
          <xdr:colOff>53340</xdr:colOff>
          <xdr:row>26</xdr:row>
          <xdr:rowOff>114300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Inscripciones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101664</xdr:colOff>
      <xdr:row>0</xdr:row>
      <xdr:rowOff>0</xdr:rowOff>
    </xdr:from>
    <xdr:to>
      <xdr:col>17</xdr:col>
      <xdr:colOff>88837</xdr:colOff>
      <xdr:row>4</xdr:row>
      <xdr:rowOff>25813</xdr:rowOff>
    </xdr:to>
    <xdr:pic>
      <xdr:nvPicPr>
        <xdr:cNvPr id="4" name="2 Image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4714" y="0"/>
          <a:ext cx="1863598" cy="8259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1249800</xdr:colOff>
      <xdr:row>0</xdr:row>
      <xdr:rowOff>68659</xdr:rowOff>
    </xdr:from>
    <xdr:to>
      <xdr:col>6</xdr:col>
      <xdr:colOff>57150</xdr:colOff>
      <xdr:row>4</xdr:row>
      <xdr:rowOff>94536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3500" y="68659"/>
          <a:ext cx="1979175" cy="8297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5DD71A-F040-4794-9072-F1D10B31AE40}" name="tblClubes" displayName="tblClubes" ref="A9:A14" totalsRowShown="0" headerRowDxfId="45" dataDxfId="44">
  <autoFilter ref="A9:A14" xr:uid="{825DD71A-F040-4794-9072-F1D10B31AE40}">
    <filterColumn colId="0" hiddenButton="1"/>
  </autoFilter>
  <tableColumns count="1">
    <tableColumn id="1" xr3:uid="{C134A1AF-B278-459D-A19F-5C723052FA29}" name="Clubes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BBD148-8392-4D43-A038-1851DB9C3EE9}" name="tblJueces" displayName="tblJueces" ref="D9:E27" totalsRowShown="0" headerRowDxfId="42">
  <autoFilter ref="D9:E27" xr:uid="{09BBD148-8392-4D43-A038-1851DB9C3EE9}">
    <filterColumn colId="0" hiddenButton="1"/>
    <filterColumn colId="1" hiddenButton="1"/>
  </autoFilter>
  <sortState xmlns:xlrd2="http://schemas.microsoft.com/office/spreadsheetml/2017/richdata2" ref="D10:D19">
    <sortCondition ref="D13:D21"/>
  </sortState>
  <tableColumns count="2">
    <tableColumn id="1" xr3:uid="{CCD8BCAC-C02F-4863-A078-61F2BA8FDCFB}" name="Jueces"/>
    <tableColumn id="2" xr3:uid="{560A90BD-806B-4F5C-8BFA-F2CCFFD53211}" name="Asignado" dataDxfId="41">
      <calculatedColumnFormula>COUNTIFS(JuecesPanel1,tblJueces[[#This Row],[Jueces]]) + COUNTIFS(JuecesPanel2,tblJueces[[#This Row],[Jueces]])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883DEF-D164-4FDB-A33B-4BB5324D8EBD}" name="tblFiguras" displayName="tblFiguras" ref="I9:N25" totalsRowShown="0" headerRowDxfId="40">
  <autoFilter ref="I9:N25" xr:uid="{93883DEF-D164-4FDB-A33B-4BB5324D8E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xr3:uid="{A85148B7-413B-4CBF-970E-D71A72A5D475}" name="Categoria"/>
    <tableColumn id="5" xr3:uid="{B00B802F-0288-4E6D-BBC5-B4515F657E01}" name="Grupo"/>
    <tableColumn id="1" xr3:uid="{B260882A-3EB2-43A8-B9DB-1183DA86B5A8}" name="Descripcion"/>
    <tableColumn id="2" xr3:uid="{DFAFBF6B-B657-48CB-A417-778A1DD640DB}" name="Nombre"/>
    <tableColumn id="3" xr3:uid="{71BEFF16-884D-4E52-8F14-805D4D60B103}" name="Cod"/>
    <tableColumn id="4" xr3:uid="{25FBB54D-1A26-492A-99BD-DAD1BE5F0AC0}" name="GD" dataDxfId="3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3D0E6B-111B-4A7D-8735-155AB4DBE671}" name="tblDeportistas" displayName="tblDeportistas" ref="B6:F53" totalsRowShown="0" headerRowDxfId="38" dataDxfId="37">
  <autoFilter ref="B6:F53" xr:uid="{203D0E6B-111B-4A7D-8735-155AB4DBE67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8E639A4-1712-42F8-93AF-9C6A73192B03}" name="O.A." dataDxfId="36"/>
    <tableColumn id="2" xr3:uid="{7D1547D8-14D5-48E5-8A0A-7899A987F23F}" name="Deportista" dataDxfId="35"/>
    <tableColumn id="3" xr3:uid="{42F52486-9B3E-4E70-BE7F-566B91C7D2DC}" name="Club" dataDxfId="34"/>
    <tableColumn id="4" xr3:uid="{D6B0B88C-E515-4D1E-9CD2-AB44950C0299}" name="Entrenadora" dataDxfId="33"/>
    <tableColumn id="5" xr3:uid="{7F96CF0E-AE07-43CD-BFC1-5F62082FE0EF}" name="Compite" dataDxfId="32"/>
  </tableColumns>
  <tableStyleInfo name="TableStyleLight18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130C16-2F59-47FF-8623-BFF83EFF3AB9}" name="tblPlanilla" displayName="tblPlanilla" ref="A7:R196" totalsRowShown="0" headerRowDxfId="31" headerRowBorderDxfId="30">
  <autoFilter ref="A7:R196" xr:uid="{28130C16-2F59-47FF-8623-BFF83EFF3A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9525777B-CD60-4496-A20A-ADF8B2999791}" name="Orden" dataDxfId="14"/>
    <tableColumn id="2" xr3:uid="{6A9B43B3-7690-42DD-8B56-5023CD79BC0B}" name="Deportista" dataDxfId="13"/>
    <tableColumn id="3" xr3:uid="{BB24CAFE-41C6-440C-A141-57C170200652}" name="Club" dataDxfId="12"/>
    <tableColumn id="4" xr3:uid="{AAB30E8E-14B1-40AD-80CB-6210E1CF11BC}" name="Cód Fig." dataDxfId="11"/>
    <tableColumn id="5" xr3:uid="{240EF8B5-8464-482A-8369-B241BF4946BB}" name="1" dataDxfId="29"/>
    <tableColumn id="6" xr3:uid="{EFD31E2A-9C96-43D5-BB44-C62D47B2EB4D}" name="2" dataDxfId="28"/>
    <tableColumn id="7" xr3:uid="{2F922F07-F60D-451A-A68C-AF53A2C5D559}" name="3" dataDxfId="27"/>
    <tableColumn id="8" xr3:uid="{D9D16E44-A0E2-4AA1-BCEB-0CDCD7119696}" name="4" dataDxfId="26"/>
    <tableColumn id="9" xr3:uid="{17359727-B0B4-4300-B194-812671625F11}" name="5" dataDxfId="25"/>
    <tableColumn id="10" xr3:uid="{AA3E240D-FB39-4E73-A1BA-222A5AC06FF7}" name="6" dataDxfId="24"/>
    <tableColumn id="11" xr3:uid="{E449E7EC-E389-4EEC-B6F7-A8CE74A9511A}" name="7" dataDxfId="23"/>
    <tableColumn id="12" xr3:uid="{87DD6381-BE50-4A0C-8C1A-E375E972666F}" name="Máxima" dataDxfId="10"/>
    <tableColumn id="13" xr3:uid="{7EFA1071-B594-419F-8C61-18E5BA11F40D}" name="Minima" dataDxfId="9"/>
    <tableColumn id="14" xr3:uid="{DE9CB4F4-7241-4F3F-9DF3-19A476589936}" name="Prom." dataDxfId="8"/>
    <tableColumn id="15" xr3:uid="{B568B340-F0BC-4D8B-BBC2-00D39C750524}" name="Prom. X GD" dataDxfId="7"/>
    <tableColumn id="16" xr3:uid="{3EB618C8-7797-4BB4-A77A-C1083600C82D}" name="Penaliz" dataDxfId="6"/>
    <tableColumn id="17" xr3:uid="{055F88D1-984B-47A0-8AB1-AFB10C6464AA}" name="SUMA PARCIAL" dataDxfId="5"/>
    <tableColumn id="18" xr3:uid="{71B404F6-6BF4-4F79-8DD3-3937985D0384}" name="TOTAL" dataDxfId="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F95EC0-9012-437C-89D6-5A6643B574F3}" name="tblPosiciones" displayName="tblPosiciones" comment="Tabla con el encabezado de los puntajes finales" ref="A7:F54" totalsRowShown="0" headerRowDxfId="22" dataDxfId="21" dataCellStyle="Normal">
  <autoFilter ref="A7:F54" xr:uid="{30136820-2352-4251-A143-7C1AE27CD1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A8:F54">
    <sortCondition descending="1" ref="E8:E54"/>
    <sortCondition ref="A8:A54"/>
  </sortState>
  <tableColumns count="6">
    <tableColumn id="1" xr3:uid="{A4A5F30A-00DE-4B30-8A75-02ED0FBE486C}" name="Orden Salida" dataDxfId="20" dataCellStyle="Normal"/>
    <tableColumn id="2" xr3:uid="{58FF4B53-F92C-4A37-872D-5C3DCD6E5525}" name="Deportista" dataDxfId="19" dataCellStyle="Normal"/>
    <tableColumn id="3" xr3:uid="{262C7A2F-059D-4799-ADCE-92BBFF55086C}" name="Club" dataDxfId="18" dataCellStyle="Normal"/>
    <tableColumn id="4" xr3:uid="{F37C6805-7DD0-4C42-A169-252943A9696C}" name="Entrenadora" dataDxfId="17" dataCellStyle="Normal"/>
    <tableColumn id="5" xr3:uid="{0BF02DD1-8673-47C4-B737-91F1A10BCF07}" name="Puntaje Final" dataDxfId="16" dataCellStyle="Normal">
      <calculatedColumnFormula>_xlfn.XLOOKUP(tblPosiciones[[#This Row],[Deportista]],tblPlanilla[Deportista],tblPlanilla[TOTAL])</calculatedColumnFormula>
    </tableColumn>
    <tableColumn id="6" xr3:uid="{98BD4F22-3CDD-478E-9B42-AEC8B124FE61}" name="Posición Final" dataDxfId="15" dataCellStyle="Normal"/>
  </tableColumns>
  <tableStyleInfo name="TableStyleLight18" showFirstColumn="1" showLastColumn="1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CC3D8-AAF4-411B-A959-0786B16A02D6}">
  <sheetPr codeName="Hoja4">
    <pageSetUpPr fitToPage="1"/>
  </sheetPr>
  <dimension ref="A1:U35"/>
  <sheetViews>
    <sheetView showGridLines="0" workbookViewId="0">
      <selection activeCell="A18" sqref="A18"/>
    </sheetView>
  </sheetViews>
  <sheetFormatPr baseColWidth="10" defaultColWidth="0" defaultRowHeight="14.4" x14ac:dyDescent="0.3"/>
  <cols>
    <col min="1" max="1" width="27.5546875" customWidth="1"/>
    <col min="2" max="2" width="4.109375" customWidth="1"/>
    <col min="3" max="3" width="3.109375" customWidth="1"/>
    <col min="4" max="4" width="20.33203125" customWidth="1"/>
    <col min="5" max="5" width="20.33203125" hidden="1" customWidth="1"/>
    <col min="6" max="6" width="3.44140625" hidden="1" customWidth="1"/>
    <col min="7" max="7" width="17.5546875" hidden="1" customWidth="1"/>
    <col min="8" max="8" width="6" customWidth="1"/>
    <col min="9" max="9" width="9.44140625" bestFit="1" customWidth="1"/>
    <col min="10" max="10" width="6.5546875" bestFit="1" customWidth="1"/>
    <col min="11" max="11" width="11.33203125" bestFit="1" customWidth="1"/>
    <col min="12" max="12" width="28.33203125" bestFit="1" customWidth="1"/>
    <col min="13" max="13" width="5" customWidth="1"/>
    <col min="14" max="14" width="3.88671875" customWidth="1"/>
    <col min="15" max="15" width="3.33203125" customWidth="1"/>
    <col min="16" max="16" width="11" customWidth="1"/>
    <col min="17" max="17" width="28.33203125" bestFit="1" customWidth="1"/>
    <col min="18" max="19" width="4.6640625" customWidth="1"/>
    <col min="20" max="21" width="11.44140625" customWidth="1"/>
    <col min="22" max="16384" width="11.44140625" hidden="1"/>
  </cols>
  <sheetData>
    <row r="1" spans="1:19" ht="15.6" x14ac:dyDescent="0.3">
      <c r="A1" t="str">
        <f>"Categoría "&amp;$M$5</f>
        <v>Categoría Infantil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</row>
    <row r="2" spans="1:19" ht="15.6" x14ac:dyDescent="0.3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</row>
    <row r="3" spans="1:19" ht="15.6" x14ac:dyDescent="0.3">
      <c r="A3" s="21" t="s">
        <v>52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</row>
    <row r="4" spans="1:19" x14ac:dyDescent="0.3">
      <c r="A4" t="s">
        <v>15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x14ac:dyDescent="0.3">
      <c r="A5" t="s">
        <v>133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81" t="s">
        <v>101</v>
      </c>
      <c r="M5" s="190" t="s">
        <v>100</v>
      </c>
      <c r="N5" s="190"/>
      <c r="O5" s="20"/>
      <c r="P5" s="20"/>
      <c r="Q5" s="20"/>
      <c r="R5" s="20"/>
      <c r="S5" s="20"/>
    </row>
    <row r="6" spans="1:19" x14ac:dyDescent="0.3">
      <c r="A6" t="str">
        <f>"Figuras - " &amp; TituloCategoria</f>
        <v>Figuras - Categoría Infantil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x14ac:dyDescent="0.3">
      <c r="A7" t="s">
        <v>134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80"/>
      <c r="M7" s="81" t="s">
        <v>97</v>
      </c>
      <c r="N7" s="80">
        <v>1</v>
      </c>
      <c r="O7" s="20"/>
      <c r="P7" s="20"/>
      <c r="Q7" s="20"/>
      <c r="R7" s="20"/>
      <c r="S7" s="20"/>
    </row>
    <row r="8" spans="1:19" x14ac:dyDescent="0.3">
      <c r="B8" s="18"/>
      <c r="C8" s="18"/>
      <c r="D8" s="18"/>
      <c r="E8" s="18"/>
      <c r="F8" s="18"/>
      <c r="G8" s="18"/>
      <c r="H8" s="18"/>
      <c r="I8" s="18"/>
      <c r="J8" s="18"/>
      <c r="K8" s="18"/>
      <c r="O8" s="18"/>
      <c r="P8" s="83" t="str">
        <f>"Figuras "&amp;$M$5&amp;" a calificar"</f>
        <v>Figuras Infantil a calificar</v>
      </c>
    </row>
    <row r="9" spans="1:19" ht="15" thickBot="1" x14ac:dyDescent="0.35">
      <c r="A9" s="18" t="s">
        <v>13</v>
      </c>
      <c r="D9" s="14" t="s">
        <v>47</v>
      </c>
      <c r="E9" s="14" t="s">
        <v>84</v>
      </c>
      <c r="G9" s="74" t="s">
        <v>86</v>
      </c>
      <c r="I9" s="14" t="s">
        <v>99</v>
      </c>
      <c r="J9" s="14" t="s">
        <v>92</v>
      </c>
      <c r="K9" s="14" t="s">
        <v>94</v>
      </c>
      <c r="L9" s="14" t="s">
        <v>85</v>
      </c>
      <c r="M9" s="14" t="s">
        <v>91</v>
      </c>
      <c r="N9" s="14" t="s">
        <v>9</v>
      </c>
      <c r="P9" s="84" t="s">
        <v>81</v>
      </c>
      <c r="Q9" s="84" t="s">
        <v>85</v>
      </c>
      <c r="R9" s="84" t="s">
        <v>91</v>
      </c>
      <c r="S9" s="85" t="s">
        <v>9</v>
      </c>
    </row>
    <row r="10" spans="1:19" ht="15" thickTop="1" x14ac:dyDescent="0.3">
      <c r="A10" s="7" t="s">
        <v>65</v>
      </c>
      <c r="D10" t="s">
        <v>55</v>
      </c>
      <c r="E10">
        <f>COUNTIFS(JuecesPanel1,tblJueces[[#This Row],[Jueces]]) + COUNTIFS(JuecesPanel2,tblJueces[[#This Row],[Jueces]])</f>
        <v>0</v>
      </c>
      <c r="G10" t="str" cm="1">
        <f t="array" ref="G10:G22">_xlfn._xlws.FILTER(tblJueces[Jueces],tblJueces[Asignado]=0,"N.A:")</f>
        <v>Ana M. Lopera</v>
      </c>
      <c r="I10" t="s">
        <v>100</v>
      </c>
      <c r="J10">
        <v>0</v>
      </c>
      <c r="K10" t="s">
        <v>96</v>
      </c>
      <c r="L10" s="7" t="s">
        <v>23</v>
      </c>
      <c r="M10" s="7">
        <v>106</v>
      </c>
      <c r="N10" s="75">
        <v>1.6</v>
      </c>
      <c r="P10" t="str" cm="1">
        <f t="array" ref="P10:S11">_xlfn._xlws.FILTER(tblFiguras[[Descripcion]:[GD]],(tblFiguras[Grupo]=0)*(tblFiguras[Categoria]=$M$5),"N.A.")</f>
        <v>Obl. 1</v>
      </c>
      <c r="Q10" t="str">
        <v>Straight Ballet Leg</v>
      </c>
      <c r="R10">
        <v>106</v>
      </c>
      <c r="S10">
        <v>1.6</v>
      </c>
    </row>
    <row r="11" spans="1:19" x14ac:dyDescent="0.3">
      <c r="A11" s="13" t="s">
        <v>41</v>
      </c>
      <c r="D11" t="s">
        <v>56</v>
      </c>
      <c r="E11">
        <f>COUNTIFS(JuecesPanel1,tblJueces[[#This Row],[Jueces]]) + COUNTIFS(JuecesPanel2,tblJueces[[#This Row],[Jueces]])</f>
        <v>0</v>
      </c>
      <c r="G11" t="str">
        <v>Ana Sofia Molina</v>
      </c>
      <c r="I11" t="s">
        <v>100</v>
      </c>
      <c r="J11">
        <v>0</v>
      </c>
      <c r="K11" t="s">
        <v>95</v>
      </c>
      <c r="L11" s="7" t="s">
        <v>12</v>
      </c>
      <c r="M11" s="7">
        <v>301</v>
      </c>
      <c r="N11" s="75">
        <v>1.9</v>
      </c>
      <c r="P11" t="str">
        <v>Obl. 2</v>
      </c>
      <c r="Q11" t="str">
        <v>Barracuda</v>
      </c>
      <c r="R11">
        <v>301</v>
      </c>
      <c r="S11">
        <v>1.9</v>
      </c>
    </row>
    <row r="12" spans="1:19" x14ac:dyDescent="0.3">
      <c r="A12" s="13" t="s">
        <v>16</v>
      </c>
      <c r="D12" t="s">
        <v>116</v>
      </c>
      <c r="E12" s="15">
        <f>COUNTIFS(JuecesPanel1,tblJueces[[#This Row],[Jueces]]) + COUNTIFS(JuecesPanel2,tblJueces[[#This Row],[Jueces]])</f>
        <v>1</v>
      </c>
      <c r="G12" t="str">
        <v>Carolina Acevedo</v>
      </c>
      <c r="I12" t="s">
        <v>100</v>
      </c>
      <c r="J12">
        <v>1</v>
      </c>
      <c r="K12" t="s">
        <v>79</v>
      </c>
      <c r="L12" s="7" t="s">
        <v>18</v>
      </c>
      <c r="M12" s="7">
        <v>420</v>
      </c>
      <c r="N12" s="75">
        <v>1.9</v>
      </c>
      <c r="P12" t="str" cm="1">
        <f t="array" ref="P12:S13">_xlfn._xlws.FILTER(tblFiguras[[Descripcion]:[GD]],(tblFiguras[Grupo]=$N$7)*(tblFiguras[Categoria]=$M$5),"N.A.")</f>
        <v>Op 1 G1</v>
      </c>
      <c r="Q12" t="str">
        <v>Walkover Back</v>
      </c>
      <c r="R12">
        <v>420</v>
      </c>
      <c r="S12">
        <v>1.9</v>
      </c>
    </row>
    <row r="13" spans="1:19" x14ac:dyDescent="0.3">
      <c r="A13" s="13" t="s">
        <v>40</v>
      </c>
      <c r="D13" t="s">
        <v>57</v>
      </c>
      <c r="E13">
        <f>COUNTIFS(JuecesPanel1,tblJueces[[#This Row],[Jueces]]) + COUNTIFS(JuecesPanel2,tblJueces[[#This Row],[Jueces]])</f>
        <v>0</v>
      </c>
      <c r="G13" t="str">
        <v>Claudia Estrada</v>
      </c>
      <c r="I13" t="s">
        <v>100</v>
      </c>
      <c r="J13">
        <v>1</v>
      </c>
      <c r="K13" t="s">
        <v>80</v>
      </c>
      <c r="L13" t="s">
        <v>20</v>
      </c>
      <c r="M13">
        <v>327</v>
      </c>
      <c r="N13" s="76">
        <v>1.8</v>
      </c>
      <c r="P13" t="str">
        <v>Op 2 G1</v>
      </c>
      <c r="Q13" t="str">
        <v>Ballerina</v>
      </c>
      <c r="R13">
        <v>327</v>
      </c>
      <c r="S13">
        <v>1.8</v>
      </c>
    </row>
    <row r="14" spans="1:19" x14ac:dyDescent="0.3">
      <c r="A14" s="13" t="s">
        <v>17</v>
      </c>
      <c r="D14" t="s">
        <v>48</v>
      </c>
      <c r="E14">
        <f>COUNTIFS(JuecesPanel1,tblJueces[[#This Row],[Jueces]]) + COUNTIFS(JuecesPanel2,tblJueces[[#This Row],[Jueces]])</f>
        <v>0</v>
      </c>
      <c r="G14" t="str">
        <v>Gabriela Salcedo</v>
      </c>
      <c r="I14" t="s">
        <v>100</v>
      </c>
      <c r="J14">
        <v>2</v>
      </c>
      <c r="K14" t="s">
        <v>87</v>
      </c>
      <c r="L14" t="s">
        <v>43</v>
      </c>
      <c r="M14">
        <v>311</v>
      </c>
      <c r="N14" s="76">
        <v>1.6</v>
      </c>
    </row>
    <row r="15" spans="1:19" x14ac:dyDescent="0.3">
      <c r="A15" s="13"/>
      <c r="D15" t="s">
        <v>49</v>
      </c>
      <c r="E15">
        <f>COUNTIFS(JuecesPanel1,tblJueces[[#This Row],[Jueces]]) + COUNTIFS(JuecesPanel2,tblJueces[[#This Row],[Jueces]])</f>
        <v>0</v>
      </c>
      <c r="G15" t="str">
        <v>Lina M. Navarro</v>
      </c>
      <c r="I15" t="s">
        <v>100</v>
      </c>
      <c r="J15">
        <v>2</v>
      </c>
      <c r="K15" t="s">
        <v>90</v>
      </c>
      <c r="L15" t="s">
        <v>21</v>
      </c>
      <c r="M15">
        <v>401</v>
      </c>
      <c r="N15" s="76">
        <v>2</v>
      </c>
    </row>
    <row r="16" spans="1:19" x14ac:dyDescent="0.3">
      <c r="A16" s="13"/>
      <c r="D16" t="s">
        <v>58</v>
      </c>
      <c r="E16">
        <f>COUNTIFS(JuecesPanel1,tblJueces[[#This Row],[Jueces]]) + COUNTIFS(JuecesPanel2,tblJueces[[#This Row],[Jueces]])</f>
        <v>1</v>
      </c>
      <c r="G16" t="str">
        <v>Lina M. Zapata</v>
      </c>
      <c r="I16" t="s">
        <v>100</v>
      </c>
      <c r="J16">
        <v>3</v>
      </c>
      <c r="K16" t="s">
        <v>88</v>
      </c>
      <c r="L16" t="s">
        <v>19</v>
      </c>
      <c r="M16">
        <v>226</v>
      </c>
      <c r="N16" s="76">
        <v>2.1</v>
      </c>
    </row>
    <row r="17" spans="1:19" x14ac:dyDescent="0.3">
      <c r="A17" s="13"/>
      <c r="D17" t="s">
        <v>50</v>
      </c>
      <c r="E17">
        <f>COUNTIFS(JuecesPanel1,tblJueces[[#This Row],[Jueces]]) + COUNTIFS(JuecesPanel2,tblJueces[[#This Row],[Jueces]])</f>
        <v>1</v>
      </c>
      <c r="G17" t="str">
        <v>Maria F. Vasquez</v>
      </c>
      <c r="I17" t="s">
        <v>100</v>
      </c>
      <c r="J17">
        <v>3</v>
      </c>
      <c r="K17" t="s">
        <v>89</v>
      </c>
      <c r="L17" t="s">
        <v>22</v>
      </c>
      <c r="M17">
        <v>363</v>
      </c>
      <c r="N17" s="76">
        <v>1.5</v>
      </c>
    </row>
    <row r="18" spans="1:19" x14ac:dyDescent="0.3">
      <c r="C18" s="14"/>
      <c r="D18" t="s">
        <v>59</v>
      </c>
      <c r="E18">
        <f>COUNTIFS(JuecesPanel1,tblJueces[[#This Row],[Jueces]]) + COUNTIFS(JuecesPanel2,tblJueces[[#This Row],[Jueces]])</f>
        <v>0</v>
      </c>
      <c r="F18" s="74"/>
      <c r="G18" s="82" t="str">
        <v>Mery Gómez</v>
      </c>
      <c r="H18" s="74"/>
      <c r="I18" t="s">
        <v>102</v>
      </c>
      <c r="J18">
        <v>0</v>
      </c>
      <c r="K18" t="s">
        <v>96</v>
      </c>
      <c r="L18" s="7" t="s">
        <v>111</v>
      </c>
      <c r="M18" s="7">
        <v>423</v>
      </c>
      <c r="N18" s="75">
        <v>2.2000000000000002</v>
      </c>
      <c r="O18" s="74"/>
      <c r="P18" s="74"/>
      <c r="Q18" s="74"/>
      <c r="R18" s="74"/>
      <c r="S18" s="74"/>
    </row>
    <row r="19" spans="1:19" x14ac:dyDescent="0.3">
      <c r="D19" t="s">
        <v>60</v>
      </c>
      <c r="E19">
        <f>COUNTIFS(JuecesPanel1,tblJueces[[#This Row],[Jueces]]) + COUNTIFS(JuecesPanel2,tblJueces[[#This Row],[Jueces]])</f>
        <v>0</v>
      </c>
      <c r="G19" t="str">
        <v>Oscar Sierra</v>
      </c>
      <c r="I19" t="s">
        <v>102</v>
      </c>
      <c r="J19">
        <v>0</v>
      </c>
      <c r="K19" t="s">
        <v>95</v>
      </c>
      <c r="L19" s="7" t="s">
        <v>112</v>
      </c>
      <c r="M19" s="7">
        <v>143</v>
      </c>
      <c r="N19" s="75">
        <v>3.1</v>
      </c>
    </row>
    <row r="20" spans="1:19" x14ac:dyDescent="0.3">
      <c r="D20" t="s">
        <v>61</v>
      </c>
      <c r="E20">
        <f>COUNTIFS(JuecesPanel1,tblJueces[[#This Row],[Jueces]]) + COUNTIFS(JuecesPanel2,tblJueces[[#This Row],[Jueces]])</f>
        <v>1</v>
      </c>
      <c r="G20" t="str">
        <v>Sarita Percy V.</v>
      </c>
      <c r="I20" t="s">
        <v>102</v>
      </c>
      <c r="J20">
        <v>1</v>
      </c>
      <c r="K20" t="s">
        <v>79</v>
      </c>
      <c r="L20" s="7" t="s">
        <v>103</v>
      </c>
      <c r="M20" s="7">
        <v>351</v>
      </c>
      <c r="N20" s="75">
        <v>2.8</v>
      </c>
    </row>
    <row r="21" spans="1:19" x14ac:dyDescent="0.3">
      <c r="D21" t="s">
        <v>62</v>
      </c>
      <c r="E21">
        <f>COUNTIFS(JuecesPanel1,tblJueces[[#This Row],[Jueces]]) + COUNTIFS(JuecesPanel2,tblJueces[[#This Row],[Jueces]])</f>
        <v>0</v>
      </c>
      <c r="G21" t="str">
        <v>Calculado</v>
      </c>
      <c r="I21" t="s">
        <v>102</v>
      </c>
      <c r="J21">
        <v>1</v>
      </c>
      <c r="K21" t="s">
        <v>80</v>
      </c>
      <c r="L21" s="7" t="s">
        <v>108</v>
      </c>
      <c r="M21" s="7">
        <v>437</v>
      </c>
      <c r="N21" s="75">
        <v>2.1</v>
      </c>
    </row>
    <row r="22" spans="1:19" x14ac:dyDescent="0.3">
      <c r="D22" t="s">
        <v>63</v>
      </c>
      <c r="E22">
        <f>COUNTIFS(JuecesPanel1,tblJueces[[#This Row],[Jueces]]) + COUNTIFS(JuecesPanel2,tblJueces[[#This Row],[Jueces]])</f>
        <v>0</v>
      </c>
      <c r="G22" t="str">
        <v>N.A.</v>
      </c>
      <c r="I22" t="s">
        <v>102</v>
      </c>
      <c r="J22">
        <v>2</v>
      </c>
      <c r="K22" t="s">
        <v>87</v>
      </c>
      <c r="L22" s="7" t="s">
        <v>104</v>
      </c>
      <c r="M22" s="7" t="s">
        <v>105</v>
      </c>
      <c r="N22" s="75">
        <v>2.2000000000000002</v>
      </c>
    </row>
    <row r="23" spans="1:19" x14ac:dyDescent="0.3">
      <c r="D23" t="s">
        <v>51</v>
      </c>
      <c r="E23">
        <f>COUNTIFS(JuecesPanel1,tblJueces[[#This Row],[Jueces]]) + COUNTIFS(JuecesPanel2,tblJueces[[#This Row],[Jueces]])</f>
        <v>0</v>
      </c>
      <c r="I23" t="s">
        <v>102</v>
      </c>
      <c r="J23">
        <v>2</v>
      </c>
      <c r="K23" t="s">
        <v>90</v>
      </c>
      <c r="L23" s="7" t="s">
        <v>109</v>
      </c>
      <c r="M23" s="7">
        <v>403</v>
      </c>
      <c r="N23" s="75">
        <v>2.2999999999999998</v>
      </c>
    </row>
    <row r="24" spans="1:19" x14ac:dyDescent="0.3">
      <c r="D24" t="s">
        <v>64</v>
      </c>
      <c r="E24">
        <f>COUNTIFS(JuecesPanel1,tblJueces[[#This Row],[Jueces]]) + COUNTIFS(JuecesPanel2,tblJueces[[#This Row],[Jueces]])</f>
        <v>0</v>
      </c>
      <c r="I24" t="s">
        <v>102</v>
      </c>
      <c r="J24">
        <v>3</v>
      </c>
      <c r="K24" t="s">
        <v>88</v>
      </c>
      <c r="L24" s="7" t="s">
        <v>106</v>
      </c>
      <c r="M24" s="7" t="s">
        <v>107</v>
      </c>
      <c r="N24" s="75">
        <v>2.1</v>
      </c>
    </row>
    <row r="25" spans="1:19" x14ac:dyDescent="0.3">
      <c r="D25" t="s">
        <v>117</v>
      </c>
      <c r="E25" s="15">
        <f>COUNTIFS(JuecesPanel1,tblJueces[[#This Row],[Jueces]]) + COUNTIFS(JuecesPanel2,tblJueces[[#This Row],[Jueces]])</f>
        <v>1</v>
      </c>
      <c r="I25" t="s">
        <v>102</v>
      </c>
      <c r="J25">
        <v>3</v>
      </c>
      <c r="K25" t="s">
        <v>89</v>
      </c>
      <c r="L25" s="7" t="s">
        <v>110</v>
      </c>
      <c r="M25" s="7">
        <v>315</v>
      </c>
      <c r="N25" s="75">
        <v>2.1</v>
      </c>
    </row>
    <row r="26" spans="1:19" x14ac:dyDescent="0.3">
      <c r="D26" t="s">
        <v>54</v>
      </c>
      <c r="E26">
        <v>0</v>
      </c>
    </row>
    <row r="27" spans="1:19" x14ac:dyDescent="0.3">
      <c r="D27" t="s">
        <v>42</v>
      </c>
      <c r="E27">
        <v>0</v>
      </c>
    </row>
    <row r="28" spans="1:19" x14ac:dyDescent="0.3">
      <c r="I28" s="191"/>
      <c r="J28" s="191"/>
      <c r="K28" s="191"/>
      <c r="L28" s="191"/>
      <c r="M28" s="191"/>
      <c r="N28" s="191"/>
      <c r="O28" s="191"/>
      <c r="P28" s="191"/>
      <c r="Q28" s="191"/>
    </row>
    <row r="29" spans="1:19" x14ac:dyDescent="0.3">
      <c r="I29" s="13"/>
      <c r="J29" s="13"/>
      <c r="K29" s="119"/>
      <c r="L29" s="13"/>
      <c r="M29" s="13"/>
      <c r="N29" s="119"/>
      <c r="O29" s="13"/>
      <c r="P29" s="13"/>
      <c r="Q29" s="119"/>
    </row>
    <row r="30" spans="1:19" x14ac:dyDescent="0.3">
      <c r="I30" s="13"/>
      <c r="J30" s="13"/>
      <c r="K30" s="120"/>
      <c r="L30" s="13"/>
      <c r="M30" s="13"/>
      <c r="N30" s="119"/>
      <c r="O30" s="13"/>
      <c r="P30" s="13"/>
      <c r="Q30" s="119"/>
    </row>
    <row r="31" spans="1:19" x14ac:dyDescent="0.3">
      <c r="I31" s="13"/>
      <c r="J31" s="13"/>
      <c r="K31" s="13"/>
      <c r="L31" s="13"/>
      <c r="M31" s="13"/>
      <c r="N31" s="13"/>
      <c r="O31" s="13"/>
      <c r="P31" s="13"/>
      <c r="Q31" s="13"/>
    </row>
    <row r="32" spans="1:19" x14ac:dyDescent="0.3">
      <c r="I32" s="121"/>
      <c r="J32" s="13"/>
      <c r="K32" s="121"/>
      <c r="L32" s="122"/>
      <c r="M32" s="123"/>
      <c r="N32" s="13"/>
      <c r="O32" s="13"/>
      <c r="P32" s="13"/>
      <c r="Q32" s="13"/>
    </row>
    <row r="33" spans="3:19" x14ac:dyDescent="0.3">
      <c r="C33" s="15"/>
      <c r="F33" s="15"/>
      <c r="G33" s="15"/>
      <c r="H33" s="15"/>
      <c r="I33" s="121"/>
      <c r="J33" s="13"/>
      <c r="K33" s="121"/>
      <c r="L33" s="122"/>
      <c r="M33" s="123"/>
      <c r="N33" s="13"/>
      <c r="O33" s="124"/>
      <c r="P33" s="124"/>
      <c r="Q33" s="124"/>
      <c r="R33" s="15"/>
      <c r="S33" s="15"/>
    </row>
    <row r="35" spans="3:19" x14ac:dyDescent="0.3">
      <c r="D35" s="15"/>
      <c r="E35" s="15"/>
      <c r="J35" s="15"/>
      <c r="K35" s="15"/>
      <c r="L35" s="15"/>
      <c r="M35" s="15"/>
      <c r="N35" s="15"/>
    </row>
  </sheetData>
  <mergeCells count="4">
    <mergeCell ref="M5:N5"/>
    <mergeCell ref="I28:K28"/>
    <mergeCell ref="L28:N28"/>
    <mergeCell ref="O28:Q28"/>
  </mergeCells>
  <phoneticPr fontId="25" type="noConversion"/>
  <dataValidations count="2">
    <dataValidation type="list" allowBlank="1" showInputMessage="1" showErrorMessage="1" sqref="M5" xr:uid="{16D62DCE-FA0C-4BBD-8760-05DAF68DFAF7}">
      <formula1>"Infantil,Juvenil"</formula1>
    </dataValidation>
    <dataValidation type="list" allowBlank="1" showInputMessage="1" showErrorMessage="1" sqref="N7" xr:uid="{4035B76A-4BD0-41A4-A4E0-1D1665419055}">
      <formula1>"1,2,3"</formula1>
    </dataValidation>
  </dataValidations>
  <pageMargins left="0.7" right="0.7" top="0.75" bottom="0.75" header="0.3" footer="0.3"/>
  <pageSetup paperSize="9" scale="74" fitToHeight="0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T37"/>
  <sheetViews>
    <sheetView workbookViewId="0">
      <selection activeCell="E14" sqref="E14"/>
    </sheetView>
  </sheetViews>
  <sheetFormatPr baseColWidth="10" defaultColWidth="0" defaultRowHeight="14.4" zeroHeight="1" x14ac:dyDescent="0.3"/>
  <cols>
    <col min="1" max="1" width="8.109375" customWidth="1"/>
    <col min="2" max="2" width="7" customWidth="1"/>
    <col min="3" max="3" width="36" customWidth="1"/>
    <col min="4" max="4" width="27.109375" customWidth="1"/>
    <col min="5" max="5" width="6.44140625" customWidth="1"/>
    <col min="6" max="12" width="4.6640625" customWidth="1"/>
    <col min="13" max="14" width="4.6640625" hidden="1" customWidth="1"/>
    <col min="15" max="15" width="5.44140625" hidden="1" customWidth="1"/>
    <col min="16" max="16" width="8.88671875" hidden="1" customWidth="1"/>
    <col min="17" max="17" width="3.6640625" customWidth="1"/>
    <col min="18" max="18" width="7.109375" hidden="1" customWidth="1"/>
    <col min="19" max="19" width="9" customWidth="1"/>
    <col min="20" max="20" width="11.44140625" customWidth="1"/>
    <col min="21" max="16384" width="11.44140625" hidden="1"/>
  </cols>
  <sheetData>
    <row r="1" spans="2:19" x14ac:dyDescent="0.3"/>
    <row r="2" spans="2:19" ht="41.4" x14ac:dyDescent="0.3">
      <c r="B2" s="89" t="s">
        <v>77</v>
      </c>
      <c r="C2" s="89" t="s">
        <v>14</v>
      </c>
      <c r="D2" s="89" t="s">
        <v>0</v>
      </c>
      <c r="E2" s="89" t="s">
        <v>32</v>
      </c>
      <c r="F2" s="137">
        <v>1</v>
      </c>
      <c r="G2" s="137">
        <v>2</v>
      </c>
      <c r="H2" s="137">
        <v>3</v>
      </c>
      <c r="I2" s="137">
        <v>4</v>
      </c>
      <c r="J2" s="137">
        <v>5</v>
      </c>
      <c r="K2" s="137">
        <v>6</v>
      </c>
      <c r="L2" s="137">
        <v>7</v>
      </c>
      <c r="M2" s="91" t="s">
        <v>1</v>
      </c>
      <c r="N2" s="91" t="s">
        <v>2</v>
      </c>
      <c r="O2" s="92" t="s">
        <v>76</v>
      </c>
      <c r="P2" s="93" t="s">
        <v>75</v>
      </c>
      <c r="Q2" s="91" t="s">
        <v>8</v>
      </c>
      <c r="R2" s="94" t="s">
        <v>3</v>
      </c>
      <c r="S2" s="95" t="s">
        <v>4</v>
      </c>
    </row>
    <row r="3" spans="2:19" x14ac:dyDescent="0.3"/>
    <row r="4" spans="2:19" x14ac:dyDescent="0.3">
      <c r="B4" s="27"/>
      <c r="C4" s="27" t="s">
        <v>98</v>
      </c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2:19" x14ac:dyDescent="0.3">
      <c r="B5" s="96" t="s">
        <v>5</v>
      </c>
      <c r="C5" s="104" t="s">
        <v>6</v>
      </c>
      <c r="D5" s="103" t="s">
        <v>7</v>
      </c>
      <c r="E5" s="89">
        <f>Obligatoria1Cod</f>
        <v>106</v>
      </c>
      <c r="F5" s="112"/>
      <c r="G5" s="98"/>
      <c r="H5" s="98" t="str">
        <f>IF(JuecesPanel&gt;=3,"",IF((JuecesPanel+JuecesCalc)&lt;3,"",IF(COUNT(F5:G5)&gt;0,AVERAGE(F5:G5),"")))</f>
        <v/>
      </c>
      <c r="I5" s="98" t="str">
        <f>IF(JuecesPanel&gt;=4,"",IF((JuecesPanel+JuecesCalc)&lt;4,"",IF(COUNT(F5:H5)&gt;0,AVERAGE(F5:H5),"")))</f>
        <v/>
      </c>
      <c r="J5" s="98" t="str">
        <f>IF(JuecesPanel&gt;=5,"",IF((JuecesPanel+JuecesCalc)&lt;5,"",IF(COUNT(F5:I5)&gt;0,AVERAGE(F5:I5),"")))</f>
        <v/>
      </c>
      <c r="K5" s="98" t="str">
        <f>IF(JuecesPanel&gt;=6,"",IF((JuecesPanel+JuecesCalc)&lt;6,"",IF(COUNT(F5:J5)&gt;0,AVERAGE(F5:J5),"")))</f>
        <v/>
      </c>
      <c r="L5" s="98" t="str">
        <f>IF(JuecesPanel&gt;=7,"",IF((JuecesPanel+JuecesCalc)&lt;7,"",IF(COUNT(F5:K5)&gt;0,AVERAGE(F5:K5),"")))</f>
        <v/>
      </c>
      <c r="M5" s="97" t="str">
        <f>IF(COUNT(F5:L5)&gt;4,MAX(F5:L5),"")</f>
        <v/>
      </c>
      <c r="N5" s="97" t="str">
        <f>IF(COUNT(F5:L5)&gt;4,MIN(F5:L5),"")</f>
        <v/>
      </c>
      <c r="O5" s="105" t="str">
        <f>IF(COUNT(F5:L5)&gt;0,(SUM(F5:L5)-( SUM(M5:N5)  ))/(IF(COUNT(F5:L5)&gt;4,COUNT(F5:L5)-2,COUNT(F5:L5))),"")</f>
        <v/>
      </c>
      <c r="P5" s="138" t="str">
        <f>IF(COUNT(F5:L5)&gt;0,O5*Obligatoria1GD,"")</f>
        <v/>
      </c>
      <c r="Q5" s="144"/>
      <c r="R5" s="141" t="str">
        <f>IF(COUNT(F5:L8)&gt;0,SUM(P5:P8),"")</f>
        <v/>
      </c>
      <c r="S5" s="106">
        <f>IF(COUNT(F5:L8)&gt;0,((R5/TotalGD)*10)-SUM(Q5:Q8),0)</f>
        <v>0</v>
      </c>
    </row>
    <row r="6" spans="2:19" x14ac:dyDescent="0.3">
      <c r="B6" s="87"/>
      <c r="C6" s="86"/>
      <c r="D6" s="87"/>
      <c r="E6" s="89">
        <f>Obligatoria2Cod</f>
        <v>301</v>
      </c>
      <c r="F6" s="101"/>
      <c r="G6" s="25"/>
      <c r="H6" s="25" t="str">
        <f>IF(JuecesPanel&gt;=3,"",IF((JuecesPanel+JuecesCalc)&lt;3,"",IF(COUNT(F6:G6)&gt;0,AVERAGE(F6:G6),"")))</f>
        <v/>
      </c>
      <c r="I6" s="25" t="str">
        <f>IF(JuecesPanel&gt;=4,"",IF((JuecesPanel+JuecesCalc)&lt;4,"",IF(COUNT(F6:H6)&gt;0,AVERAGE(F6:H6),"")))</f>
        <v/>
      </c>
      <c r="J6" s="25" t="str">
        <f>IF(JuecesPanel&gt;=5,"",IF((JuecesPanel+JuecesCalc)&lt;5,"",IF(COUNT(F6:I6)&gt;0,AVERAGE(F6:I6),"")))</f>
        <v/>
      </c>
      <c r="K6" s="25" t="str">
        <f>IF(JuecesPanel&gt;=6,"",IF((JuecesPanel+JuecesCalc)&lt;6,"",IF(COUNT(F6:J6)&gt;0,AVERAGE(F6:J6),"")))</f>
        <v/>
      </c>
      <c r="L6" s="25" t="str">
        <f>IF(JuecesPanel&gt;=7,"",IF((JuecesPanel+JuecesCalc)&lt;7,"",IF(COUNT(F6:K6)&gt;0,AVERAGE(F6:K6),"")))</f>
        <v/>
      </c>
      <c r="M6" s="25" t="str">
        <f>IF(COUNT(F6:L6)&gt;4,MAX(F6:L6),"")</f>
        <v/>
      </c>
      <c r="N6" s="25" t="str">
        <f>IF(COUNT(F6:L6)&gt;4,MIN(F6:L6),"")</f>
        <v/>
      </c>
      <c r="O6" s="88" t="str">
        <f>IF(COUNT(F6:L6)&gt;0,(SUM(F6:L6)-( SUM(M6:N6)  ))/(IF(COUNT(F6:L6)&gt;4,COUNT(F6:L6)-2,COUNT(F6:L6))),"")</f>
        <v/>
      </c>
      <c r="P6" s="139" t="str">
        <f>IF(COUNT(F6:L6)&gt;0,O6*Obligatoria2GD,"")</f>
        <v/>
      </c>
      <c r="Q6" s="145"/>
      <c r="R6" s="142"/>
      <c r="S6" s="107"/>
    </row>
    <row r="7" spans="2:19" x14ac:dyDescent="0.3">
      <c r="B7" s="87"/>
      <c r="C7" s="86"/>
      <c r="D7" s="87"/>
      <c r="E7" s="89">
        <f>Opcional1Cod</f>
        <v>420</v>
      </c>
      <c r="F7" s="113"/>
      <c r="G7" s="26"/>
      <c r="H7" s="26" t="str">
        <f>IF(JuecesPanel&gt;=3,"",IF((JuecesPanel+JuecesCalc)&lt;3,"",IF(COUNT(F7:G7)&gt;0,AVERAGE(F7:G7),"")))</f>
        <v/>
      </c>
      <c r="I7" s="26" t="str">
        <f>IF(JuecesPanel&gt;=4,"",IF((JuecesPanel+JuecesCalc)&lt;4,"",IF(COUNT(F7:H7)&gt;0,AVERAGE(F7:H7),"")))</f>
        <v/>
      </c>
      <c r="J7" s="26" t="str">
        <f>IF(JuecesPanel&gt;=5,"",IF((JuecesPanel+JuecesCalc)&lt;5,"",IF(COUNT(F7:I7)&gt;0,AVERAGE(F7:I7),"")))</f>
        <v/>
      </c>
      <c r="K7" s="26" t="str">
        <f>IF(JuecesPanel&gt;=6,"",IF((JuecesPanel+JuecesCalc)&lt;6,"",IF(COUNT(F7:J7)&gt;0,AVERAGE(F7:J7),"")))</f>
        <v/>
      </c>
      <c r="L7" s="26" t="str">
        <f>IF(JuecesPanel&gt;=7,"",IF((JuecesPanel+JuecesCalc)&lt;7,"",IF(COUNT(F7:K7)&gt;0,AVERAGE(F7:K7),"")))</f>
        <v/>
      </c>
      <c r="M7" s="25" t="str">
        <f>IF(COUNT(F7:L7)&gt;4,MAX(F7:L7),"")</f>
        <v/>
      </c>
      <c r="N7" s="25" t="str">
        <f>IF(COUNT(F7:L7)&gt;4,MIN(F7:L7),"")</f>
        <v/>
      </c>
      <c r="O7" s="88" t="str">
        <f>IF(COUNT(F7:L7)&gt;0,(SUM(F7:L7)-( SUM(M7:N7)  ))/(IF(COUNT(F7:L7)&gt;4,COUNT(F7:L7)-2,COUNT(F7:L7))),"")</f>
        <v/>
      </c>
      <c r="P7" s="139" t="str">
        <f>IF(COUNT(F7:L7)&gt;0,O7*Opcional1GD,"")</f>
        <v/>
      </c>
      <c r="Q7" s="145"/>
      <c r="R7" s="142"/>
      <c r="S7" s="107"/>
    </row>
    <row r="8" spans="2:19" x14ac:dyDescent="0.3">
      <c r="B8" s="108"/>
      <c r="C8" s="109"/>
      <c r="D8" s="108"/>
      <c r="E8" s="89">
        <f>Opcional2Cod</f>
        <v>327</v>
      </c>
      <c r="F8" s="102"/>
      <c r="G8" s="99"/>
      <c r="H8" s="99" t="str">
        <f>IF(JuecesPanel&gt;=3,"",IF((JuecesPanel+JuecesCalc)&lt;3,"",IF(COUNT(F8:G8)&gt;0,AVERAGE(F8:G8),"")))</f>
        <v/>
      </c>
      <c r="I8" s="99" t="str">
        <f>IF(JuecesPanel&gt;=4,"",IF((JuecesPanel+JuecesCalc)&lt;4,"",IF(COUNT(F8:H8)&gt;0,AVERAGE(F8:H8),"")))</f>
        <v/>
      </c>
      <c r="J8" s="99" t="str">
        <f>IF(JuecesPanel&gt;=5,"",IF((JuecesPanel+JuecesCalc)&lt;5,"",IF(COUNT(F8:I8)&gt;0,AVERAGE(F8:I8),"")))</f>
        <v/>
      </c>
      <c r="K8" s="99" t="str">
        <f>IF(JuecesPanel&gt;=6,"",IF((JuecesPanel+JuecesCalc)&lt;6,"",IF(COUNT(F8:J8)&gt;0,AVERAGE(F8:J8),"")))</f>
        <v/>
      </c>
      <c r="L8" s="99" t="str">
        <f>IF(JuecesPanel&gt;=7,"",IF((JuecesPanel+JuecesCalc)&lt;7,"",IF(COUNT(F8:K8)&gt;0,AVERAGE(F8:K8),"")))</f>
        <v/>
      </c>
      <c r="M8" s="99" t="str">
        <f>IF(COUNT(F8:L8)&gt;4,MAX(F8:L8),"")</f>
        <v/>
      </c>
      <c r="N8" s="99" t="str">
        <f>IF(COUNT(F8:L8)&gt;4,MIN(F8:L8),"")</f>
        <v/>
      </c>
      <c r="O8" s="110" t="str">
        <f>IF(COUNT(F8:L8)&gt;0,(SUM(F8:L8)-( SUM(M8:N8)  ))/(IF(COUNT(F8:L8)&gt;4,COUNT(F8:L8)-2,COUNT(F8:L8))),"")</f>
        <v/>
      </c>
      <c r="P8" s="140" t="str">
        <f>IF(COUNT(F8:L8)&gt;0,O8*Opcional2GD,"")</f>
        <v/>
      </c>
      <c r="Q8" s="146"/>
      <c r="R8" s="143"/>
      <c r="S8" s="111"/>
    </row>
    <row r="9" spans="2:19" x14ac:dyDescent="0.3"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3"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3">
      <c r="B11" s="13"/>
      <c r="C11" s="13" t="s">
        <v>82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</row>
    <row r="12" spans="2:19" x14ac:dyDescent="0.3">
      <c r="B12" s="96" t="s">
        <v>5</v>
      </c>
      <c r="C12" s="104" t="s">
        <v>6</v>
      </c>
      <c r="D12" s="103" t="s">
        <v>7</v>
      </c>
      <c r="E12" s="89">
        <f>Obligatoria1Cod</f>
        <v>106</v>
      </c>
      <c r="F12" s="100"/>
      <c r="G12" s="97"/>
      <c r="H12" s="97" t="str">
        <f>IF(JuecesPanel&gt;=3,"",IF((JuecesPanel+JuecesCalc)&lt;3,"",IF(COUNT(F12:G12)&gt;0,AVERAGE(F12:G12),"")))</f>
        <v/>
      </c>
      <c r="I12" s="97" t="str">
        <f>IF(JuecesPanel&gt;=4,"",IF((JuecesPanel+JuecesCalc)&lt;4,"",IF(COUNT(F12:H12)&gt;0,AVERAGE(F12:H12),"")))</f>
        <v/>
      </c>
      <c r="J12" s="97" t="str">
        <f>IF(JuecesPanel&gt;=5,"",IF((JuecesPanel+JuecesCalc)&lt;5,"",IF(COUNT(F12:I12)&gt;0,AVERAGE(F12:I12),"")))</f>
        <v/>
      </c>
      <c r="K12" s="97" t="str">
        <f>IF(JuecesPanel&gt;=6,"",IF((JuecesPanel+JuecesCalc)&lt;6,"",IF(COUNT(F12:J12)&gt;0,AVERAGE(F12:J12),"")))</f>
        <v/>
      </c>
      <c r="L12" s="97" t="str">
        <f>IF(JuecesPanel&gt;=7,"",IF((JuecesPanel+JuecesCalc)&lt;7,"",IF(COUNT(F12:K12)&gt;0,AVERAGE(F12:K12),"")))</f>
        <v/>
      </c>
      <c r="M12" s="97" t="str">
        <f>IF(COUNT(F12:L12)&gt;4,MAX(F12:L12),"")</f>
        <v/>
      </c>
      <c r="N12" s="97" t="str">
        <f>IF(COUNT(F12:L12)&gt;4,MIN(F12:L12),"")</f>
        <v/>
      </c>
      <c r="O12" s="105" t="str">
        <f>IF(COUNT(F12:L12)&gt;0,(SUM(F12:L12)-( SUM(M12:N12)  ))/(IF(COUNT(F12:L12)&gt;4,COUNT(F12:L12)-2,COUNT(F12:L12))),"")</f>
        <v/>
      </c>
      <c r="P12" s="138" t="str">
        <f>IF(COUNT(F12:L12)&gt;0,O12*Obligatoria1GD,"")</f>
        <v/>
      </c>
      <c r="Q12" s="144"/>
      <c r="R12" s="141" t="str">
        <f>IF(COUNT(F12:L15)&gt;0,SUM(P12:P15),"")</f>
        <v/>
      </c>
      <c r="S12" s="106">
        <f>IF(COUNT(F12:L15)&gt;0,((R12/TotalGD)*10)-SUM(Q12:Q15),0)</f>
        <v>0</v>
      </c>
    </row>
    <row r="13" spans="2:19" x14ac:dyDescent="0.3">
      <c r="B13" s="87"/>
      <c r="C13" s="86"/>
      <c r="D13" s="87"/>
      <c r="E13" s="89">
        <f>Obligatoria2Cod</f>
        <v>301</v>
      </c>
      <c r="F13" s="101"/>
      <c r="G13" s="25"/>
      <c r="H13" s="25" t="str">
        <f>IF(JuecesPanel&gt;=3,"",IF((JuecesPanel+JuecesCalc)&lt;3,"",IF(COUNT(F13:G13)&gt;0,AVERAGE(F13:G13),"")))</f>
        <v/>
      </c>
      <c r="I13" s="25" t="str">
        <f>IF(JuecesPanel&gt;=4,"",IF((JuecesPanel+JuecesCalc)&lt;4,"",IF(COUNT(F13:H13)&gt;0,AVERAGE(F13:H13),"")))</f>
        <v/>
      </c>
      <c r="J13" s="25" t="str">
        <f>IF(JuecesPanel&gt;=5,"",IF((JuecesPanel+JuecesCalc)&lt;5,"",IF(COUNT(F13:I13)&gt;0,AVERAGE(F13:I13),"")))</f>
        <v/>
      </c>
      <c r="K13" s="25" t="str">
        <f>IF(JuecesPanel&gt;=6,"",IF((JuecesPanel+JuecesCalc)&lt;6,"",IF(COUNT(F13:J13)&gt;0,AVERAGE(F13:J13),"")))</f>
        <v/>
      </c>
      <c r="L13" s="25" t="str">
        <f>IF(JuecesPanel&gt;=7,"",IF((JuecesPanel+JuecesCalc)&lt;7,"",IF(COUNT(F13:K13)&gt;0,AVERAGE(F13:K13),"")))</f>
        <v/>
      </c>
      <c r="M13" s="25" t="str">
        <f>IF(COUNT(F13:L13)&gt;4,MAX(F13:L13),"")</f>
        <v/>
      </c>
      <c r="N13" s="25" t="str">
        <f>IF(COUNT(F13:L13)&gt;4,MIN(F13:L13),"")</f>
        <v/>
      </c>
      <c r="O13" s="88" t="str">
        <f>IF(COUNT(F13:L13)&gt;0,(SUM(F13:L13)-( SUM(M13:N13)  ))/(IF(COUNT(F13:L13)&gt;4,COUNT(F13:L13)-2,COUNT(F13:L13))),"")</f>
        <v/>
      </c>
      <c r="P13" s="139" t="str">
        <f>IF(COUNT(F13:L13)&gt;0,O13*Obligatoria2GD,"")</f>
        <v/>
      </c>
      <c r="Q13" s="145"/>
      <c r="R13" s="142"/>
      <c r="S13" s="107"/>
    </row>
    <row r="14" spans="2:19" x14ac:dyDescent="0.3">
      <c r="B14" s="87"/>
      <c r="C14" s="86"/>
      <c r="D14" s="87"/>
      <c r="E14" s="89">
        <f>Opcional1Cod</f>
        <v>420</v>
      </c>
      <c r="F14" s="101"/>
      <c r="G14" s="25"/>
      <c r="H14" s="25" t="str">
        <f>IF(JuecesPanel&gt;=3,"",IF((JuecesPanel+JuecesCalc)&lt;3,"",IF(COUNT(F14:G14)&gt;0,AVERAGE(F14:G14),"")))</f>
        <v/>
      </c>
      <c r="I14" s="25" t="str">
        <f>IF(JuecesPanel&gt;=4,"",IF((JuecesPanel+JuecesCalc)&lt;4,"",IF(COUNT(F14:H14)&gt;0,AVERAGE(F14:H14),"")))</f>
        <v/>
      </c>
      <c r="J14" s="25" t="str">
        <f>IF(JuecesPanel&gt;=5,"",IF((JuecesPanel+JuecesCalc)&lt;5,"",IF(COUNT(F14:I14)&gt;0,AVERAGE(F14:I14),"")))</f>
        <v/>
      </c>
      <c r="K14" s="25" t="str">
        <f>IF(JuecesPanel&gt;=6,"",IF((JuecesPanel+JuecesCalc)&lt;6,"",IF(COUNT(F14:J14)&gt;0,AVERAGE(F14:J14),"")))</f>
        <v/>
      </c>
      <c r="L14" s="25" t="str">
        <f>IF(JuecesPanel&gt;=7,"",IF((JuecesPanel+JuecesCalc)&lt;7,"",IF(COUNT(F14:K14)&gt;0,AVERAGE(F14:K14),"")))</f>
        <v/>
      </c>
      <c r="M14" s="25" t="str">
        <f>IF(COUNT(F14:L14)&gt;4,MAX(F14:L14),"")</f>
        <v/>
      </c>
      <c r="N14" s="25" t="str">
        <f>IF(COUNT(F14:L14)&gt;4,MIN(F14:L14),"")</f>
        <v/>
      </c>
      <c r="O14" s="88" t="str">
        <f>IF(COUNT(F14:L14)&gt;0,(SUM(F14:L14)-( SUM(M14:N14)  ))/(IF(COUNT(F14:L14)&gt;4,COUNT(F14:L14)-2,COUNT(F14:L14))),"")</f>
        <v/>
      </c>
      <c r="P14" s="139" t="str">
        <f>IF(COUNT(F14:L14)&gt;0,O14*Opcional1GD,"")</f>
        <v/>
      </c>
      <c r="Q14" s="145"/>
      <c r="R14" s="142"/>
      <c r="S14" s="107"/>
    </row>
    <row r="15" spans="2:19" x14ac:dyDescent="0.3">
      <c r="B15" s="108"/>
      <c r="C15" s="109"/>
      <c r="D15" s="108"/>
      <c r="E15" s="89">
        <f>Opcional2Cod</f>
        <v>327</v>
      </c>
      <c r="F15" s="102"/>
      <c r="G15" s="99"/>
      <c r="H15" s="99" t="str">
        <f>IF(JuecesPanel&gt;=3,"",IF((JuecesPanel+JuecesCalc)&lt;3,"",IF(COUNT(F15:G15)&gt;0,AVERAGE(F15:G15),"")))</f>
        <v/>
      </c>
      <c r="I15" s="99" t="str">
        <f>IF(JuecesPanel&gt;=4,"",IF((JuecesPanel+JuecesCalc)&lt;4,"",IF(COUNT(F15:H15)&gt;0,AVERAGE(F15:H15),"")))</f>
        <v/>
      </c>
      <c r="J15" s="99" t="str">
        <f>IF(JuecesPanel&gt;=5,"",IF((JuecesPanel+JuecesCalc)&lt;5,"",IF(COUNT(F15:I15)&gt;0,AVERAGE(F15:I15),"")))</f>
        <v/>
      </c>
      <c r="K15" s="99" t="str">
        <f>IF(JuecesPanel&gt;=6,"",IF((JuecesPanel+JuecesCalc)&lt;6,"",IF(COUNT(F15:J15)&gt;0,AVERAGE(F15:J15),"")))</f>
        <v/>
      </c>
      <c r="L15" s="99" t="str">
        <f>IF(JuecesPanel&gt;=7,"",IF((JuecesPanel+JuecesCalc)&lt;7,"",IF(COUNT(F15:K15)&gt;0,AVERAGE(F15:K15),"")))</f>
        <v/>
      </c>
      <c r="M15" s="99" t="str">
        <f>IF(COUNT(F15:L15)&gt;4,MAX(F15:L15),"")</f>
        <v/>
      </c>
      <c r="N15" s="99" t="str">
        <f>IF(COUNT(F15:L15)&gt;4,MIN(F15:L15),"")</f>
        <v/>
      </c>
      <c r="O15" s="110" t="str">
        <f>IF(COUNT(F15:L15)&gt;0,(SUM(F15:L15)-( SUM(M15:N15)  ))/(IF(COUNT(F15:L15)&gt;4,COUNT(F15:L15)-2,COUNT(F15:L15))),"")</f>
        <v/>
      </c>
      <c r="P15" s="140" t="str">
        <f>IF(COUNT(F15:L15)&gt;0,O15*Opcional2GD,"")</f>
        <v/>
      </c>
      <c r="Q15" s="146"/>
      <c r="R15" s="143"/>
      <c r="S15" s="111"/>
    </row>
    <row r="16" spans="2:19" x14ac:dyDescent="0.3"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2:19" x14ac:dyDescent="0.3"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2:19" x14ac:dyDescent="0.3">
      <c r="B18" s="27"/>
      <c r="C18" s="27" t="s">
        <v>83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2:19" x14ac:dyDescent="0.3">
      <c r="B19" s="147" t="s">
        <v>5</v>
      </c>
      <c r="C19" s="186" t="s">
        <v>6</v>
      </c>
      <c r="D19" s="187" t="s">
        <v>7</v>
      </c>
      <c r="E19" s="148" t="s">
        <v>113</v>
      </c>
      <c r="F19" s="149" t="s">
        <v>113</v>
      </c>
      <c r="G19" s="150" t="s">
        <v>113</v>
      </c>
      <c r="H19" s="150" t="s">
        <v>113</v>
      </c>
      <c r="I19" s="150" t="s">
        <v>113</v>
      </c>
      <c r="J19" s="150" t="s">
        <v>113</v>
      </c>
      <c r="K19" s="150" t="s">
        <v>113</v>
      </c>
      <c r="L19" s="151" t="s">
        <v>113</v>
      </c>
      <c r="M19" s="152" t="str">
        <f>IF(COUNT(F19:L19)&gt;4,MAX(F19:L19),"")</f>
        <v/>
      </c>
      <c r="N19" s="153" t="str">
        <f>IF(COUNT(F19:L19)&gt;4,MIN(F19:L19),"")</f>
        <v/>
      </c>
      <c r="O19" s="154" t="str">
        <f>IF(COUNT(F19:L19)&gt;0,(SUM(F19:L19)-( SUM(M19:N19)  ))/(IF(COUNT(F19:L19)&gt;4,COUNT(F19:L19)-2,COUNT(F19:L19))),"")</f>
        <v/>
      </c>
      <c r="P19" s="155" t="str">
        <f>IF(COUNT(F19:L19)&gt;0,O19*Obligatoria1GD,"")</f>
        <v/>
      </c>
      <c r="Q19" s="156"/>
      <c r="R19" s="157" t="str">
        <f>IF(COUNT(F19:L22)&gt;0,SUM(P19:P22),"")</f>
        <v/>
      </c>
      <c r="S19" s="158"/>
    </row>
    <row r="20" spans="2:19" x14ac:dyDescent="0.3">
      <c r="B20" s="159"/>
      <c r="C20" s="160"/>
      <c r="D20" s="161"/>
      <c r="E20" s="162" t="s">
        <v>113</v>
      </c>
      <c r="F20" s="163" t="s">
        <v>113</v>
      </c>
      <c r="G20" s="164" t="s">
        <v>113</v>
      </c>
      <c r="H20" s="164" t="s">
        <v>113</v>
      </c>
      <c r="I20" s="164" t="s">
        <v>113</v>
      </c>
      <c r="J20" s="164" t="s">
        <v>113</v>
      </c>
      <c r="K20" s="164" t="s">
        <v>113</v>
      </c>
      <c r="L20" s="165" t="s">
        <v>113</v>
      </c>
      <c r="M20" s="166" t="str">
        <f>IF(COUNT(F20:L20)&gt;4,MAX(F20:L20),"")</f>
        <v/>
      </c>
      <c r="N20" s="167" t="str">
        <f>IF(COUNT(F20:L20)&gt;4,MIN(F20:L20),"")</f>
        <v/>
      </c>
      <c r="O20" s="168" t="str">
        <f>IF(COUNT(F20:L20)&gt;0,(SUM(F20:L20)-( SUM(M20:N20)  ))/(IF(COUNT(F20:L20)&gt;4,COUNT(F20:L20)-2,COUNT(F20:L20))),"")</f>
        <v/>
      </c>
      <c r="P20" s="169" t="str">
        <f>IF(COUNT(F20:L20)&gt;0,O20*Obligatoria2GD,"")</f>
        <v/>
      </c>
      <c r="Q20" s="170"/>
      <c r="R20" s="171"/>
      <c r="S20" s="172"/>
    </row>
    <row r="21" spans="2:19" x14ac:dyDescent="0.3">
      <c r="B21" s="159"/>
      <c r="C21" s="160"/>
      <c r="D21" s="161"/>
      <c r="E21" s="162" t="s">
        <v>113</v>
      </c>
      <c r="F21" s="163" t="s">
        <v>113</v>
      </c>
      <c r="G21" s="164" t="s">
        <v>113</v>
      </c>
      <c r="H21" s="164" t="s">
        <v>113</v>
      </c>
      <c r="I21" s="164" t="s">
        <v>113</v>
      </c>
      <c r="J21" s="164" t="s">
        <v>113</v>
      </c>
      <c r="K21" s="164" t="s">
        <v>113</v>
      </c>
      <c r="L21" s="165" t="s">
        <v>113</v>
      </c>
      <c r="M21" s="166" t="str">
        <f>IF(COUNT(F21:L21)&gt;4,MAX(F21:L21),"")</f>
        <v/>
      </c>
      <c r="N21" s="167" t="str">
        <f>IF(COUNT(F21:L21)&gt;4,MIN(F21:L21),"")</f>
        <v/>
      </c>
      <c r="O21" s="168" t="str">
        <f>IF(COUNT(F21:L21)&gt;0,(SUM(F21:L21)-( SUM(M21:N21)  ))/(IF(COUNT(F21:L21)&gt;4,COUNT(F21:L21)-2,COUNT(F21:L21))),"")</f>
        <v/>
      </c>
      <c r="P21" s="169" t="str">
        <f>IF(COUNT(F21:L21)&gt;0,O21*Opcional1GD,"")</f>
        <v/>
      </c>
      <c r="Q21" s="170"/>
      <c r="R21" s="171"/>
      <c r="S21" s="172"/>
    </row>
    <row r="22" spans="2:19" x14ac:dyDescent="0.3">
      <c r="B22" s="173"/>
      <c r="C22" s="174"/>
      <c r="D22" s="175"/>
      <c r="E22" s="162" t="s">
        <v>113</v>
      </c>
      <c r="F22" s="176" t="s">
        <v>113</v>
      </c>
      <c r="G22" s="177" t="s">
        <v>113</v>
      </c>
      <c r="H22" s="177" t="s">
        <v>113</v>
      </c>
      <c r="I22" s="177" t="s">
        <v>113</v>
      </c>
      <c r="J22" s="177" t="s">
        <v>113</v>
      </c>
      <c r="K22" s="177" t="s">
        <v>113</v>
      </c>
      <c r="L22" s="178" t="s">
        <v>113</v>
      </c>
      <c r="M22" s="179" t="str">
        <f>IF(COUNT(F22:L22)&gt;4,MAX(F22:L22),"")</f>
        <v/>
      </c>
      <c r="N22" s="180" t="str">
        <f>IF(COUNT(F22:L22)&gt;4,MIN(F22:L22),"")</f>
        <v/>
      </c>
      <c r="O22" s="181" t="str">
        <f>IF(COUNT(F22:L22)&gt;0,(SUM(F22:L22)-( SUM(M22:N22)  ))/(IF(COUNT(F22:L22)&gt;4,COUNT(F22:L22)-2,COUNT(F22:L22))),"")</f>
        <v/>
      </c>
      <c r="P22" s="182" t="str">
        <f>IF(COUNT(F22:L22)&gt;0,O22*Opcional2GD,"")</f>
        <v/>
      </c>
      <c r="Q22" s="183"/>
      <c r="R22" s="184"/>
      <c r="S22" s="185"/>
    </row>
    <row r="23" spans="2:19" x14ac:dyDescent="0.3"/>
    <row r="24" spans="2:19" x14ac:dyDescent="0.3"/>
    <row r="25" spans="2:19" x14ac:dyDescent="0.3"/>
    <row r="26" spans="2:19" x14ac:dyDescent="0.3">
      <c r="C26" s="13"/>
    </row>
    <row r="27" spans="2:19" x14ac:dyDescent="0.3"/>
    <row r="28" spans="2:19" x14ac:dyDescent="0.3"/>
    <row r="29" spans="2:19" x14ac:dyDescent="0.3"/>
    <row r="30" spans="2:19" x14ac:dyDescent="0.3"/>
    <row r="31" spans="2:19" x14ac:dyDescent="0.3"/>
    <row r="32" spans="2:19" x14ac:dyDescent="0.3"/>
    <row r="33" x14ac:dyDescent="0.3"/>
    <row r="34" x14ac:dyDescent="0.3"/>
    <row r="35" x14ac:dyDescent="0.3"/>
    <row r="36" x14ac:dyDescent="0.3"/>
    <row r="37" x14ac:dyDescent="0.3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Z53"/>
  <sheetViews>
    <sheetView showGridLines="0" tabSelected="1" zoomScale="90" zoomScaleNormal="90" workbookViewId="0">
      <selection activeCell="B4" sqref="B4"/>
    </sheetView>
  </sheetViews>
  <sheetFormatPr baseColWidth="10" defaultColWidth="0" defaultRowHeight="14.4" x14ac:dyDescent="0.3"/>
  <cols>
    <col min="1" max="1" width="2.109375" customWidth="1"/>
    <col min="2" max="2" width="6.88671875" customWidth="1"/>
    <col min="3" max="3" width="27.88671875" bestFit="1" customWidth="1"/>
    <col min="4" max="4" width="24.109375" bestFit="1" customWidth="1"/>
    <col min="5" max="5" width="15.88671875" style="14" hidden="1" customWidth="1"/>
    <col min="6" max="6" width="7.6640625" bestFit="1" customWidth="1"/>
    <col min="7" max="7" width="2.33203125" customWidth="1"/>
    <col min="8" max="8" width="7.5546875" customWidth="1"/>
    <col min="9" max="9" width="9.33203125" customWidth="1"/>
    <col min="10" max="10" width="8.109375" customWidth="1"/>
    <col min="11" max="11" width="8.33203125" customWidth="1"/>
    <col min="12" max="12" width="4.5546875" customWidth="1"/>
    <col min="13" max="13" width="3.88671875" customWidth="1"/>
    <col min="14" max="14" width="5.6640625" customWidth="1"/>
    <col min="15" max="15" width="3" customWidth="1"/>
    <col min="16" max="16" width="2.5546875" customWidth="1"/>
    <col min="17" max="17" width="10" hidden="1" customWidth="1"/>
    <col min="18" max="18" width="9.88671875" hidden="1" customWidth="1"/>
    <col min="19" max="19" width="4" hidden="1" customWidth="1"/>
    <col min="20" max="20" width="4.5546875" hidden="1" customWidth="1"/>
    <col min="21" max="21" width="17.44140625" hidden="1" customWidth="1"/>
    <col min="22" max="22" width="4" hidden="1" customWidth="1"/>
    <col min="23" max="23" width="4.5546875" hidden="1" customWidth="1"/>
    <col min="24" max="24" width="15.88671875" hidden="1" customWidth="1"/>
    <col min="25" max="25" width="4" hidden="1" customWidth="1"/>
    <col min="26" max="26" width="4.5546875" hidden="1" customWidth="1"/>
    <col min="27" max="16384" width="11.44140625" hidden="1"/>
  </cols>
  <sheetData>
    <row r="1" spans="1:18" ht="6" customHeight="1" x14ac:dyDescent="0.3"/>
    <row r="2" spans="1:18" ht="18.75" customHeight="1" x14ac:dyDescent="0.45">
      <c r="B2" s="192" t="str">
        <f>HeadLin2</f>
        <v>Festival infantil departamental Fase I</v>
      </c>
      <c r="C2" s="192"/>
      <c r="D2" s="192"/>
      <c r="E2" s="192"/>
      <c r="F2" s="192"/>
      <c r="G2" s="116"/>
      <c r="H2" s="116"/>
      <c r="I2" s="116"/>
      <c r="J2" s="116"/>
      <c r="K2" s="116"/>
      <c r="L2" s="116"/>
      <c r="M2" s="116"/>
      <c r="N2" s="116"/>
      <c r="O2" s="9"/>
    </row>
    <row r="3" spans="1:18" ht="17.25" customHeight="1" x14ac:dyDescent="0.45">
      <c r="B3" s="193" t="str">
        <f>HeadLin3</f>
        <v>Figuras - Categoría Infantil</v>
      </c>
      <c r="C3" s="193"/>
      <c r="D3" s="193"/>
      <c r="E3" s="193"/>
      <c r="F3" s="193"/>
      <c r="G3" s="117"/>
      <c r="H3" s="117"/>
      <c r="I3" s="117"/>
      <c r="J3" s="117"/>
      <c r="K3" s="117"/>
      <c r="L3" s="117"/>
      <c r="M3" s="117"/>
      <c r="N3" s="117"/>
      <c r="O3" s="10"/>
    </row>
    <row r="4" spans="1:18" ht="15" customHeight="1" x14ac:dyDescent="0.45">
      <c r="B4" s="5"/>
      <c r="C4" s="5"/>
      <c r="D4" s="5"/>
      <c r="E4" s="16"/>
      <c r="F4" s="5"/>
      <c r="G4" s="5"/>
      <c r="H4" s="5"/>
      <c r="I4" s="10"/>
      <c r="J4" s="5"/>
      <c r="K4" s="10"/>
      <c r="L4" s="5"/>
      <c r="M4" s="5"/>
      <c r="N4" s="5"/>
      <c r="O4" s="10"/>
    </row>
    <row r="5" spans="1:18" ht="17.25" customHeight="1" x14ac:dyDescent="0.45">
      <c r="B5" s="40" t="str">
        <f>"Total  inscripciones: " &amp; COUNTA(tblDeportistas[Deportista])</f>
        <v>Total  inscripciones: 47</v>
      </c>
      <c r="E5" s="17"/>
      <c r="F5" s="4"/>
      <c r="G5" s="4"/>
      <c r="H5" s="4"/>
      <c r="I5" s="4"/>
      <c r="J5" s="6"/>
      <c r="K5" s="6"/>
      <c r="L5" s="4"/>
      <c r="M5" s="4"/>
      <c r="N5" s="4"/>
      <c r="O5" s="4"/>
    </row>
    <row r="6" spans="1:18" x14ac:dyDescent="0.3">
      <c r="A6" s="22"/>
      <c r="B6" s="34" t="s">
        <v>39</v>
      </c>
      <c r="C6" s="35" t="s">
        <v>6</v>
      </c>
      <c r="D6" s="35" t="s">
        <v>7</v>
      </c>
      <c r="E6" s="35" t="s">
        <v>31</v>
      </c>
      <c r="F6" s="34" t="s">
        <v>46</v>
      </c>
      <c r="G6" s="22"/>
      <c r="H6" s="52" t="s">
        <v>92</v>
      </c>
      <c r="I6" s="194" t="s">
        <v>11</v>
      </c>
      <c r="J6" s="194"/>
      <c r="K6" s="194"/>
      <c r="L6" s="66" t="s">
        <v>93</v>
      </c>
      <c r="M6" s="66" t="s">
        <v>9</v>
      </c>
      <c r="N6" s="198" t="s">
        <v>10</v>
      </c>
      <c r="O6" s="199"/>
      <c r="P6" s="7"/>
      <c r="Q6" s="7"/>
    </row>
    <row r="7" spans="1:18" x14ac:dyDescent="0.3">
      <c r="B7" s="36">
        <v>1</v>
      </c>
      <c r="C7" s="37" t="s">
        <v>128</v>
      </c>
      <c r="D7" s="38" t="s">
        <v>122</v>
      </c>
      <c r="E7" s="39"/>
      <c r="F7" s="36">
        <v>0</v>
      </c>
      <c r="H7" s="53" t="str">
        <f>ObligatoriaTipo1</f>
        <v>Obl. 1</v>
      </c>
      <c r="I7" s="37" t="str">
        <f>Obligatoria1Nom</f>
        <v>Straight Ballet Leg</v>
      </c>
      <c r="J7" s="44"/>
      <c r="K7" s="37"/>
      <c r="L7" s="39">
        <f>Obligatoria1Cod</f>
        <v>106</v>
      </c>
      <c r="M7" s="45">
        <f>Obligatoria1GD</f>
        <v>1.6</v>
      </c>
      <c r="N7" s="200">
        <f>SUM(M7:M12)</f>
        <v>7.2</v>
      </c>
      <c r="O7" s="201"/>
      <c r="P7" s="7"/>
      <c r="Q7" s="7"/>
    </row>
    <row r="8" spans="1:18" x14ac:dyDescent="0.3">
      <c r="B8" s="188">
        <v>2</v>
      </c>
      <c r="C8" s="27" t="s">
        <v>132</v>
      </c>
      <c r="D8" s="189" t="s">
        <v>124</v>
      </c>
      <c r="E8" s="30"/>
      <c r="F8" s="36">
        <v>1</v>
      </c>
      <c r="H8" s="54" t="str">
        <f>ObligatoriaTipo2</f>
        <v>Obl. 2</v>
      </c>
      <c r="I8" s="47" t="str">
        <f>Obligatoria2Nom</f>
        <v>Barracuda</v>
      </c>
      <c r="J8" s="47"/>
      <c r="K8" s="46"/>
      <c r="L8" s="125">
        <f>Obligatoria2Cod</f>
        <v>301</v>
      </c>
      <c r="M8" s="118">
        <f>Obligatoria2GD</f>
        <v>1.9</v>
      </c>
      <c r="N8" s="200"/>
      <c r="O8" s="201"/>
      <c r="P8" s="7"/>
      <c r="Q8" s="7"/>
    </row>
    <row r="9" spans="1:18" ht="13.5" customHeight="1" x14ac:dyDescent="0.3">
      <c r="B9" s="188">
        <v>3</v>
      </c>
      <c r="C9" s="27" t="s">
        <v>137</v>
      </c>
      <c r="D9" s="189" t="s">
        <v>121</v>
      </c>
      <c r="E9" s="30"/>
      <c r="F9" s="36">
        <v>0</v>
      </c>
      <c r="H9" s="77" t="s">
        <v>118</v>
      </c>
      <c r="I9" s="37" t="str">
        <f>Opcional1Nom</f>
        <v>Walkover Back</v>
      </c>
      <c r="J9" s="44"/>
      <c r="K9" s="37"/>
      <c r="L9" s="39">
        <f>Opcional1Cod</f>
        <v>420</v>
      </c>
      <c r="M9" s="45">
        <f>Opcional1GD</f>
        <v>1.9</v>
      </c>
      <c r="N9" s="200"/>
      <c r="O9" s="201"/>
      <c r="P9" s="7"/>
      <c r="Q9" s="7"/>
    </row>
    <row r="10" spans="1:18" x14ac:dyDescent="0.3">
      <c r="B10" s="188">
        <v>4</v>
      </c>
      <c r="C10" s="27" t="s">
        <v>138</v>
      </c>
      <c r="D10" s="189" t="s">
        <v>122</v>
      </c>
      <c r="E10" s="30"/>
      <c r="F10" s="36">
        <v>0</v>
      </c>
      <c r="H10" s="78" t="s">
        <v>119</v>
      </c>
      <c r="I10" s="55" t="str">
        <f>Opcional2Nom</f>
        <v>Ballerina</v>
      </c>
      <c r="J10" s="56"/>
      <c r="K10" s="55"/>
      <c r="L10" s="57">
        <f>Opcional2Cod</f>
        <v>327</v>
      </c>
      <c r="M10" s="58">
        <f>Opcional2GD</f>
        <v>1.8</v>
      </c>
      <c r="N10" s="202"/>
      <c r="O10" s="203"/>
      <c r="P10" s="7"/>
      <c r="Q10" s="7"/>
    </row>
    <row r="11" spans="1:18" x14ac:dyDescent="0.3">
      <c r="B11" s="188">
        <v>5</v>
      </c>
      <c r="C11" s="27" t="s">
        <v>139</v>
      </c>
      <c r="D11" s="189" t="s">
        <v>114</v>
      </c>
      <c r="E11" s="30"/>
      <c r="F11" s="36">
        <v>0</v>
      </c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18" x14ac:dyDescent="0.3">
      <c r="B12" s="188">
        <v>6</v>
      </c>
      <c r="C12" s="27" t="s">
        <v>140</v>
      </c>
      <c r="D12" s="189" t="s">
        <v>123</v>
      </c>
      <c r="E12" s="30"/>
      <c r="F12" s="36">
        <v>0</v>
      </c>
      <c r="H12" s="59"/>
      <c r="I12" s="73" t="s">
        <v>66</v>
      </c>
      <c r="J12" s="60" t="s">
        <v>115</v>
      </c>
      <c r="K12" s="60"/>
      <c r="L12" s="60"/>
      <c r="M12" s="60"/>
      <c r="N12" s="60"/>
      <c r="O12" s="61"/>
      <c r="P12" s="41"/>
      <c r="Q12" s="41"/>
      <c r="R12" s="42"/>
    </row>
    <row r="13" spans="1:18" x14ac:dyDescent="0.3">
      <c r="B13" s="188">
        <v>7</v>
      </c>
      <c r="C13" s="27" t="s">
        <v>141</v>
      </c>
      <c r="D13" s="189" t="s">
        <v>122</v>
      </c>
      <c r="E13" s="30"/>
      <c r="F13" s="36">
        <v>0</v>
      </c>
      <c r="H13" s="62"/>
      <c r="I13" s="79" t="s">
        <v>67</v>
      </c>
      <c r="J13" s="63" t="s">
        <v>174</v>
      </c>
      <c r="K13" s="63"/>
      <c r="L13" s="63"/>
      <c r="M13" s="63"/>
      <c r="N13" s="63"/>
      <c r="O13" s="64"/>
      <c r="P13" s="41"/>
      <c r="Q13" s="41"/>
      <c r="R13" s="42"/>
    </row>
    <row r="14" spans="1:18" x14ac:dyDescent="0.3">
      <c r="B14" s="188">
        <v>8</v>
      </c>
      <c r="C14" s="27" t="s">
        <v>142</v>
      </c>
      <c r="D14" s="189" t="s">
        <v>123</v>
      </c>
      <c r="E14" s="30"/>
      <c r="F14" s="36">
        <v>0</v>
      </c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2"/>
    </row>
    <row r="15" spans="1:18" x14ac:dyDescent="0.3">
      <c r="B15" s="188">
        <v>9</v>
      </c>
      <c r="C15" s="27" t="s">
        <v>143</v>
      </c>
      <c r="D15" s="189" t="s">
        <v>123</v>
      </c>
      <c r="E15" s="30"/>
      <c r="F15" s="36">
        <v>0</v>
      </c>
      <c r="H15" s="206" t="s">
        <v>44</v>
      </c>
      <c r="I15" s="207"/>
      <c r="J15" s="207"/>
      <c r="K15" s="208"/>
      <c r="L15" s="12"/>
      <c r="N15" s="41"/>
      <c r="O15" s="41"/>
      <c r="P15" s="43"/>
      <c r="Q15" s="41"/>
      <c r="R15" s="42"/>
    </row>
    <row r="16" spans="1:18" ht="14.25" customHeight="1" x14ac:dyDescent="0.3">
      <c r="B16" s="188">
        <v>10</v>
      </c>
      <c r="C16" s="27" t="s">
        <v>144</v>
      </c>
      <c r="D16" s="189" t="s">
        <v>121</v>
      </c>
      <c r="E16" s="30"/>
      <c r="F16" s="36">
        <v>0</v>
      </c>
      <c r="G16" s="1"/>
      <c r="H16" s="48" t="s">
        <v>33</v>
      </c>
      <c r="I16" s="35"/>
      <c r="J16" s="6">
        <v>5</v>
      </c>
      <c r="K16" s="204">
        <f>SUM(J16:J17)</f>
        <v>5</v>
      </c>
      <c r="L16" s="41"/>
      <c r="M16" s="41"/>
      <c r="N16" s="41"/>
      <c r="O16" s="41"/>
      <c r="P16" s="41"/>
      <c r="Q16" s="41"/>
      <c r="R16" s="42"/>
    </row>
    <row r="17" spans="2:18" ht="15" customHeight="1" x14ac:dyDescent="0.3">
      <c r="B17" s="188">
        <v>11</v>
      </c>
      <c r="C17" s="27" t="s">
        <v>145</v>
      </c>
      <c r="D17" s="189" t="s">
        <v>123</v>
      </c>
      <c r="E17" s="30"/>
      <c r="F17" s="36">
        <v>0</v>
      </c>
      <c r="G17" s="2"/>
      <c r="H17" s="49" t="s">
        <v>34</v>
      </c>
      <c r="I17" s="50"/>
      <c r="J17" s="51">
        <v>0</v>
      </c>
      <c r="K17" s="205"/>
      <c r="L17" s="41"/>
      <c r="N17" s="43"/>
      <c r="O17" s="41"/>
      <c r="P17" s="43"/>
      <c r="Q17" s="41"/>
      <c r="R17" s="42"/>
    </row>
    <row r="18" spans="2:18" x14ac:dyDescent="0.3">
      <c r="B18" s="188">
        <v>12</v>
      </c>
      <c r="C18" s="27" t="s">
        <v>146</v>
      </c>
      <c r="D18" s="189" t="s">
        <v>122</v>
      </c>
      <c r="E18" s="30"/>
      <c r="F18" s="36">
        <v>1</v>
      </c>
      <c r="G18" s="2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2"/>
    </row>
    <row r="19" spans="2:18" x14ac:dyDescent="0.3">
      <c r="B19" s="188">
        <v>13</v>
      </c>
      <c r="C19" s="27" t="s">
        <v>147</v>
      </c>
      <c r="D19" s="189" t="s">
        <v>114</v>
      </c>
      <c r="E19" s="30"/>
      <c r="F19" s="36">
        <v>0</v>
      </c>
      <c r="G19" s="8"/>
      <c r="H19" s="209" t="s">
        <v>53</v>
      </c>
      <c r="I19" s="210"/>
      <c r="J19" s="210"/>
      <c r="K19" s="211"/>
      <c r="L19" s="41"/>
      <c r="R19" s="42"/>
    </row>
    <row r="20" spans="2:18" x14ac:dyDescent="0.3">
      <c r="B20" s="188">
        <v>14</v>
      </c>
      <c r="C20" s="27" t="s">
        <v>148</v>
      </c>
      <c r="D20" s="189" t="s">
        <v>122</v>
      </c>
      <c r="E20" s="30"/>
      <c r="F20" s="36">
        <v>0</v>
      </c>
      <c r="G20" s="2"/>
      <c r="H20" s="67" t="s">
        <v>24</v>
      </c>
      <c r="I20" s="212" t="s">
        <v>116</v>
      </c>
      <c r="J20" s="212"/>
      <c r="K20" s="213"/>
      <c r="L20" s="41"/>
      <c r="R20" s="42"/>
    </row>
    <row r="21" spans="2:18" x14ac:dyDescent="0.3">
      <c r="B21" s="188">
        <v>15</v>
      </c>
      <c r="C21" s="27" t="s">
        <v>149</v>
      </c>
      <c r="D21" s="189" t="s">
        <v>124</v>
      </c>
      <c r="E21" s="30"/>
      <c r="F21" s="36">
        <v>0</v>
      </c>
      <c r="G21" s="3"/>
      <c r="H21" s="68" t="s">
        <v>25</v>
      </c>
      <c r="I21" s="212" t="s">
        <v>50</v>
      </c>
      <c r="J21" s="212"/>
      <c r="K21" s="213"/>
      <c r="L21" s="41"/>
      <c r="R21" s="42"/>
    </row>
    <row r="22" spans="2:18" x14ac:dyDescent="0.3">
      <c r="B22" s="188">
        <v>16</v>
      </c>
      <c r="C22" s="27" t="s">
        <v>150</v>
      </c>
      <c r="D22" s="189" t="s">
        <v>121</v>
      </c>
      <c r="E22" s="30"/>
      <c r="F22" s="36">
        <v>0</v>
      </c>
      <c r="G22" s="3"/>
      <c r="H22" s="67" t="s">
        <v>26</v>
      </c>
      <c r="I22" s="212" t="s">
        <v>61</v>
      </c>
      <c r="J22" s="212"/>
      <c r="K22" s="213"/>
      <c r="L22" s="41"/>
      <c r="R22" s="42"/>
    </row>
    <row r="23" spans="2:18" x14ac:dyDescent="0.3">
      <c r="B23" s="188">
        <v>17</v>
      </c>
      <c r="C23" s="27" t="s">
        <v>151</v>
      </c>
      <c r="D23" s="189" t="s">
        <v>123</v>
      </c>
      <c r="E23" s="30"/>
      <c r="F23" s="36">
        <v>0</v>
      </c>
      <c r="H23" s="68" t="s">
        <v>27</v>
      </c>
      <c r="I23" s="212" t="s">
        <v>58</v>
      </c>
      <c r="J23" s="212"/>
      <c r="K23" s="213"/>
      <c r="L23" s="41"/>
      <c r="R23" s="42"/>
    </row>
    <row r="24" spans="2:18" x14ac:dyDescent="0.3">
      <c r="B24" s="188">
        <v>18</v>
      </c>
      <c r="C24" s="27" t="s">
        <v>152</v>
      </c>
      <c r="D24" s="189" t="s">
        <v>121</v>
      </c>
      <c r="E24" s="30"/>
      <c r="F24" s="36">
        <v>0</v>
      </c>
      <c r="H24" s="67" t="s">
        <v>28</v>
      </c>
      <c r="I24" s="212" t="s">
        <v>117</v>
      </c>
      <c r="J24" s="212"/>
      <c r="K24" s="213"/>
      <c r="L24" s="41"/>
      <c r="R24" s="42"/>
    </row>
    <row r="25" spans="2:18" x14ac:dyDescent="0.3">
      <c r="B25" s="188">
        <v>19</v>
      </c>
      <c r="C25" s="27" t="s">
        <v>153</v>
      </c>
      <c r="D25" s="189" t="s">
        <v>114</v>
      </c>
      <c r="E25" s="30"/>
      <c r="F25" s="36">
        <v>0</v>
      </c>
      <c r="H25" s="68" t="s">
        <v>29</v>
      </c>
      <c r="I25" s="214" t="s">
        <v>42</v>
      </c>
      <c r="J25" s="215"/>
      <c r="K25" s="216"/>
      <c r="L25" s="41"/>
      <c r="R25" s="42"/>
    </row>
    <row r="26" spans="2:18" x14ac:dyDescent="0.3">
      <c r="B26" s="188">
        <v>20</v>
      </c>
      <c r="C26" s="27" t="s">
        <v>135</v>
      </c>
      <c r="D26" s="189" t="s">
        <v>122</v>
      </c>
      <c r="E26" s="30"/>
      <c r="F26" s="36">
        <v>0</v>
      </c>
      <c r="H26" s="69" t="s">
        <v>30</v>
      </c>
      <c r="I26" s="217" t="s">
        <v>42</v>
      </c>
      <c r="J26" s="218"/>
      <c r="K26" s="219"/>
      <c r="L26" s="41"/>
      <c r="R26" s="42"/>
    </row>
    <row r="27" spans="2:18" x14ac:dyDescent="0.3">
      <c r="B27" s="188">
        <v>21</v>
      </c>
      <c r="C27" s="27" t="s">
        <v>154</v>
      </c>
      <c r="D27" s="189" t="s">
        <v>121</v>
      </c>
      <c r="E27" s="30"/>
      <c r="F27" s="36">
        <v>0</v>
      </c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2:18" x14ac:dyDescent="0.3">
      <c r="B28" s="188">
        <v>22</v>
      </c>
      <c r="C28" s="27" t="s">
        <v>155</v>
      </c>
      <c r="D28" s="189" t="s">
        <v>121</v>
      </c>
      <c r="E28" s="30"/>
      <c r="F28" s="36">
        <v>0</v>
      </c>
      <c r="H28" s="195" t="s">
        <v>45</v>
      </c>
      <c r="I28" s="196"/>
      <c r="J28" s="196"/>
      <c r="K28" s="197"/>
      <c r="L28" s="65"/>
    </row>
    <row r="29" spans="2:18" x14ac:dyDescent="0.3">
      <c r="B29" s="188">
        <v>23</v>
      </c>
      <c r="C29" s="27" t="s">
        <v>125</v>
      </c>
      <c r="D29" s="189" t="s">
        <v>114</v>
      </c>
      <c r="E29" s="30"/>
      <c r="F29" s="36">
        <v>0</v>
      </c>
      <c r="H29" s="70" t="s">
        <v>24</v>
      </c>
      <c r="I29" s="212" t="s">
        <v>42</v>
      </c>
      <c r="J29" s="215"/>
      <c r="K29" s="220"/>
      <c r="L29" s="11"/>
    </row>
    <row r="30" spans="2:18" x14ac:dyDescent="0.3">
      <c r="B30" s="188">
        <v>24</v>
      </c>
      <c r="C30" s="27" t="s">
        <v>156</v>
      </c>
      <c r="D30" s="189" t="s">
        <v>121</v>
      </c>
      <c r="E30" s="30"/>
      <c r="F30" s="36">
        <v>0</v>
      </c>
      <c r="H30" s="71" t="s">
        <v>25</v>
      </c>
      <c r="I30" s="214" t="s">
        <v>42</v>
      </c>
      <c r="J30" s="215"/>
      <c r="K30" s="220"/>
      <c r="L30" s="11"/>
    </row>
    <row r="31" spans="2:18" x14ac:dyDescent="0.3">
      <c r="B31" s="188">
        <v>25</v>
      </c>
      <c r="C31" s="27" t="s">
        <v>127</v>
      </c>
      <c r="D31" s="189" t="s">
        <v>123</v>
      </c>
      <c r="E31" s="30"/>
      <c r="F31" s="36">
        <v>0</v>
      </c>
      <c r="H31" s="70" t="s">
        <v>26</v>
      </c>
      <c r="I31" s="212" t="s">
        <v>78</v>
      </c>
      <c r="J31" s="215"/>
      <c r="K31" s="220"/>
      <c r="L31" s="11"/>
    </row>
    <row r="32" spans="2:18" x14ac:dyDescent="0.3">
      <c r="B32" s="188">
        <v>26</v>
      </c>
      <c r="C32" s="27" t="s">
        <v>157</v>
      </c>
      <c r="D32" s="189" t="s">
        <v>121</v>
      </c>
      <c r="E32" s="30"/>
      <c r="F32" s="36">
        <v>0</v>
      </c>
      <c r="H32" s="71" t="s">
        <v>27</v>
      </c>
      <c r="I32" s="214" t="s">
        <v>78</v>
      </c>
      <c r="J32" s="215"/>
      <c r="K32" s="220"/>
      <c r="L32" s="11"/>
    </row>
    <row r="33" spans="2:12" x14ac:dyDescent="0.3">
      <c r="B33" s="188">
        <v>27</v>
      </c>
      <c r="C33" s="27" t="s">
        <v>126</v>
      </c>
      <c r="D33" s="189" t="s">
        <v>121</v>
      </c>
      <c r="E33" s="30"/>
      <c r="F33" s="36">
        <v>0</v>
      </c>
      <c r="H33" s="70" t="s">
        <v>28</v>
      </c>
      <c r="I33" s="212" t="s">
        <v>78</v>
      </c>
      <c r="J33" s="215"/>
      <c r="K33" s="220"/>
      <c r="L33" s="11"/>
    </row>
    <row r="34" spans="2:12" x14ac:dyDescent="0.3">
      <c r="B34" s="188">
        <v>28</v>
      </c>
      <c r="C34" s="27" t="s">
        <v>158</v>
      </c>
      <c r="D34" s="189" t="s">
        <v>123</v>
      </c>
      <c r="E34" s="30"/>
      <c r="F34" s="36">
        <v>0</v>
      </c>
      <c r="H34" s="71" t="s">
        <v>29</v>
      </c>
      <c r="I34" s="214" t="s">
        <v>78</v>
      </c>
      <c r="J34" s="215"/>
      <c r="K34" s="220"/>
      <c r="L34" s="11"/>
    </row>
    <row r="35" spans="2:12" x14ac:dyDescent="0.3">
      <c r="B35" s="188">
        <v>29</v>
      </c>
      <c r="C35" s="27" t="s">
        <v>159</v>
      </c>
      <c r="D35" s="189" t="s">
        <v>122</v>
      </c>
      <c r="E35" s="30"/>
      <c r="F35" s="36">
        <v>0</v>
      </c>
      <c r="H35" s="72" t="s">
        <v>30</v>
      </c>
      <c r="I35" s="221" t="s">
        <v>78</v>
      </c>
      <c r="J35" s="222"/>
      <c r="K35" s="223"/>
      <c r="L35" s="11"/>
    </row>
    <row r="36" spans="2:12" x14ac:dyDescent="0.3">
      <c r="B36" s="188">
        <v>30</v>
      </c>
      <c r="C36" s="27" t="s">
        <v>160</v>
      </c>
      <c r="D36" s="189" t="s">
        <v>123</v>
      </c>
      <c r="E36" s="30"/>
      <c r="F36" s="36">
        <v>0</v>
      </c>
    </row>
    <row r="37" spans="2:12" x14ac:dyDescent="0.3">
      <c r="B37" s="188">
        <v>31</v>
      </c>
      <c r="C37" s="27" t="s">
        <v>161</v>
      </c>
      <c r="D37" s="189" t="s">
        <v>121</v>
      </c>
      <c r="E37" s="30"/>
      <c r="F37" s="36">
        <v>0</v>
      </c>
    </row>
    <row r="38" spans="2:12" x14ac:dyDescent="0.3">
      <c r="B38" s="188">
        <v>32</v>
      </c>
      <c r="C38" s="27" t="s">
        <v>136</v>
      </c>
      <c r="D38" s="189" t="s">
        <v>121</v>
      </c>
      <c r="E38" s="30"/>
      <c r="F38" s="36">
        <v>0</v>
      </c>
    </row>
    <row r="39" spans="2:12" x14ac:dyDescent="0.3">
      <c r="B39" s="188">
        <v>33</v>
      </c>
      <c r="C39" s="27" t="s">
        <v>129</v>
      </c>
      <c r="D39" s="189" t="s">
        <v>123</v>
      </c>
      <c r="E39" s="30"/>
      <c r="F39" s="36">
        <v>0</v>
      </c>
    </row>
    <row r="40" spans="2:12" x14ac:dyDescent="0.3">
      <c r="B40" s="188">
        <v>34</v>
      </c>
      <c r="C40" s="27" t="s">
        <v>162</v>
      </c>
      <c r="D40" s="189" t="s">
        <v>122</v>
      </c>
      <c r="E40" s="30"/>
      <c r="F40" s="36">
        <v>0</v>
      </c>
    </row>
    <row r="41" spans="2:12" x14ac:dyDescent="0.3">
      <c r="B41" s="188">
        <v>35</v>
      </c>
      <c r="C41" s="27" t="s">
        <v>163</v>
      </c>
      <c r="D41" s="189" t="s">
        <v>123</v>
      </c>
      <c r="E41" s="30"/>
      <c r="F41" s="36">
        <v>0</v>
      </c>
    </row>
    <row r="42" spans="2:12" x14ac:dyDescent="0.3">
      <c r="B42" s="188">
        <v>36</v>
      </c>
      <c r="C42" s="27" t="s">
        <v>164</v>
      </c>
      <c r="D42" s="189" t="s">
        <v>122</v>
      </c>
      <c r="E42" s="30"/>
      <c r="F42" s="36">
        <v>0</v>
      </c>
    </row>
    <row r="43" spans="2:12" x14ac:dyDescent="0.3">
      <c r="B43" s="188">
        <v>37</v>
      </c>
      <c r="C43" s="27" t="s">
        <v>165</v>
      </c>
      <c r="D43" s="189" t="s">
        <v>123</v>
      </c>
      <c r="E43" s="30"/>
      <c r="F43" s="36">
        <v>0</v>
      </c>
    </row>
    <row r="44" spans="2:12" x14ac:dyDescent="0.3">
      <c r="B44" s="188">
        <v>38</v>
      </c>
      <c r="C44" s="27" t="s">
        <v>166</v>
      </c>
      <c r="D44" s="189" t="s">
        <v>121</v>
      </c>
      <c r="E44" s="30"/>
      <c r="F44" s="36">
        <v>0</v>
      </c>
    </row>
    <row r="45" spans="2:12" x14ac:dyDescent="0.3">
      <c r="B45" s="188">
        <v>39</v>
      </c>
      <c r="C45" s="27" t="s">
        <v>167</v>
      </c>
      <c r="D45" s="189" t="s">
        <v>114</v>
      </c>
      <c r="E45" s="30"/>
      <c r="F45" s="36">
        <v>0</v>
      </c>
    </row>
    <row r="46" spans="2:12" x14ac:dyDescent="0.3">
      <c r="B46" s="188">
        <v>40</v>
      </c>
      <c r="C46" s="27" t="s">
        <v>168</v>
      </c>
      <c r="D46" s="189" t="s">
        <v>122</v>
      </c>
      <c r="E46" s="30"/>
      <c r="F46" s="36">
        <v>0</v>
      </c>
    </row>
    <row r="47" spans="2:12" x14ac:dyDescent="0.3">
      <c r="B47" s="188">
        <v>41</v>
      </c>
      <c r="C47" s="27" t="s">
        <v>169</v>
      </c>
      <c r="D47" s="189" t="s">
        <v>121</v>
      </c>
      <c r="E47" s="30"/>
      <c r="F47" s="36">
        <v>0</v>
      </c>
    </row>
    <row r="48" spans="2:12" x14ac:dyDescent="0.3">
      <c r="B48" s="188">
        <v>42</v>
      </c>
      <c r="C48" s="27" t="s">
        <v>131</v>
      </c>
      <c r="D48" s="189" t="s">
        <v>122</v>
      </c>
      <c r="E48" s="30"/>
      <c r="F48" s="36">
        <v>0</v>
      </c>
    </row>
    <row r="49" spans="2:6" x14ac:dyDescent="0.3">
      <c r="B49" s="188">
        <v>43</v>
      </c>
      <c r="C49" s="27" t="s">
        <v>170</v>
      </c>
      <c r="D49" s="189" t="s">
        <v>121</v>
      </c>
      <c r="E49" s="30"/>
      <c r="F49" s="36">
        <v>0</v>
      </c>
    </row>
    <row r="50" spans="2:6" x14ac:dyDescent="0.3">
      <c r="B50" s="188">
        <v>44</v>
      </c>
      <c r="C50" s="27" t="s">
        <v>130</v>
      </c>
      <c r="D50" s="189" t="s">
        <v>121</v>
      </c>
      <c r="E50" s="30"/>
      <c r="F50" s="36">
        <v>0</v>
      </c>
    </row>
    <row r="51" spans="2:6" x14ac:dyDescent="0.3">
      <c r="B51" s="188">
        <v>45</v>
      </c>
      <c r="C51" s="27" t="s">
        <v>171</v>
      </c>
      <c r="D51" s="189" t="s">
        <v>123</v>
      </c>
      <c r="E51" s="30"/>
      <c r="F51" s="36">
        <v>0</v>
      </c>
    </row>
    <row r="52" spans="2:6" x14ac:dyDescent="0.3">
      <c r="B52" s="188">
        <v>46</v>
      </c>
      <c r="C52" s="27" t="s">
        <v>172</v>
      </c>
      <c r="D52" s="189" t="s">
        <v>121</v>
      </c>
      <c r="E52" s="30"/>
      <c r="F52" s="36">
        <v>0</v>
      </c>
    </row>
    <row r="53" spans="2:6" x14ac:dyDescent="0.3">
      <c r="B53" s="188">
        <v>47</v>
      </c>
      <c r="C53" s="27" t="s">
        <v>173</v>
      </c>
      <c r="D53" s="189" t="s">
        <v>124</v>
      </c>
      <c r="E53" s="30"/>
      <c r="F53" s="36">
        <v>0</v>
      </c>
    </row>
  </sheetData>
  <sortState xmlns:xlrd2="http://schemas.microsoft.com/office/spreadsheetml/2017/richdata2" ref="C7:F7">
    <sortCondition ref="F6:F7"/>
  </sortState>
  <dataConsolidate/>
  <mergeCells count="23">
    <mergeCell ref="I34:K34"/>
    <mergeCell ref="I35:K35"/>
    <mergeCell ref="I29:K29"/>
    <mergeCell ref="I30:K30"/>
    <mergeCell ref="I31:K31"/>
    <mergeCell ref="I32:K32"/>
    <mergeCell ref="I33:K33"/>
    <mergeCell ref="B2:F2"/>
    <mergeCell ref="B3:F3"/>
    <mergeCell ref="I6:K6"/>
    <mergeCell ref="H28:K28"/>
    <mergeCell ref="N6:O6"/>
    <mergeCell ref="N7:O10"/>
    <mergeCell ref="K16:K17"/>
    <mergeCell ref="H15:K15"/>
    <mergeCell ref="H19:K19"/>
    <mergeCell ref="I20:K20"/>
    <mergeCell ref="I21:K21"/>
    <mergeCell ref="I22:K22"/>
    <mergeCell ref="I23:K23"/>
    <mergeCell ref="I24:K24"/>
    <mergeCell ref="I25:K25"/>
    <mergeCell ref="I26:K26"/>
  </mergeCells>
  <conditionalFormatting sqref="P17">
    <cfRule type="expression" dxfId="3" priority="4">
      <formula>"BUSCARV(P15;tblDeportistas[[Deportista]:[Compite]];4;0)=1"</formula>
    </cfRule>
  </conditionalFormatting>
  <conditionalFormatting sqref="P15">
    <cfRule type="expression" dxfId="2" priority="3">
      <formula>"BUSCARV(P15;tblDeportistas[[Deportista]:[Compite]];4;0)=1"</formula>
    </cfRule>
  </conditionalFormatting>
  <conditionalFormatting sqref="B7:F53">
    <cfRule type="expression" dxfId="1" priority="1">
      <formula>$F7&lt;&gt;0</formula>
    </cfRule>
  </conditionalFormatting>
  <dataValidations xWindow="1080" yWindow="638" count="6">
    <dataValidation type="whole" allowBlank="1" showInputMessage="1" showErrorMessage="1" errorTitle="Error" error="El numero de Jueces debe estar entre 1 y 7" promptTitle="Jueces en Panel" prompt="Cantidad de jueces que estaran calificando las figuras infantiles." sqref="J16:K16" xr:uid="{00000000-0002-0000-0000-000001000000}">
      <formula1>1</formula1>
      <formula2>7</formula2>
    </dataValidation>
    <dataValidation type="whole" allowBlank="1" showInputMessage="1" showErrorMessage="1" errorTitle="Error !!" error="El número de jueces en panel mas los calculados no debe ser mayor a 7." promptTitle="Calculados" prompt="Cantidad de jueces que seran calculados para completar el panel." sqref="J17:K17" xr:uid="{B3107478-AA5D-44B2-B806-21FF76FB1D16}">
      <formula1>0</formula1>
      <formula2>(7- JuecesPanel )</formula2>
    </dataValidation>
    <dataValidation allowBlank="1" showInputMessage="1" showErrorMessage="1" errorTitle="Error" sqref="D7:D53" xr:uid="{00000000-0002-0000-0000-000002000000}"/>
    <dataValidation type="whole" allowBlank="1" sqref="F7:F53" xr:uid="{868C2382-58DD-4AAB-B42D-41A1C2459F3A}">
      <formula1>0</formula1>
      <formula2>1</formula2>
    </dataValidation>
    <dataValidation type="list" allowBlank="1" showInputMessage="1" showErrorMessage="1" sqref="I29:K35 I20:K26" xr:uid="{0B74ADCE-B449-4F38-A227-9A9B5064131C}">
      <formula1>_xlfn.ANCHORARRAY(JuecesDisponibles)</formula1>
    </dataValidation>
    <dataValidation type="list" allowBlank="1" showInputMessage="1" showErrorMessage="1" sqref="P15" xr:uid="{4B649DAC-A3A9-4404-B507-2243D6819911}">
      <formula1>$C$7:$C$53</formula1>
    </dataValidation>
  </dataValidations>
  <printOptions horizontalCentered="1"/>
  <pageMargins left="0.1" right="0.12" top="0.74803149606299213" bottom="0.61" header="0.31496062992125984" footer="0.31496062992125984"/>
  <pageSetup scale="86" fitToHeight="0" orientation="portrait" errors="NA" r:id="rId1"/>
  <headerFooter>
    <oddFooter>&amp;L[&amp;A]&amp;RPágina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GeneraPlanilla">
                <anchor moveWithCells="1" sizeWithCells="1">
                  <from>
                    <xdr:col>11</xdr:col>
                    <xdr:colOff>121920</xdr:colOff>
                    <xdr:row>14</xdr:row>
                    <xdr:rowOff>38100</xdr:rowOff>
                  </from>
                  <to>
                    <xdr:col>15</xdr:col>
                    <xdr:colOff>60960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5" name="Button 11">
              <controlPr defaultSize="0" print="0" autoFill="0" autoPict="0" macro="[0]!GeneraPDF">
                <anchor moveWithCells="1" sizeWithCells="1">
                  <from>
                    <xdr:col>11</xdr:col>
                    <xdr:colOff>121920</xdr:colOff>
                    <xdr:row>16</xdr:row>
                    <xdr:rowOff>167640</xdr:rowOff>
                  </from>
                  <to>
                    <xdr:col>15</xdr:col>
                    <xdr:colOff>30480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6" name="Button 12">
              <controlPr defaultSize="0" print="0" autoFill="0" autoPict="0" macro="[0]!LimpiaPlanillayPosiciones">
                <anchor moveWithCells="1" sizeWithCells="1">
                  <from>
                    <xdr:col>11</xdr:col>
                    <xdr:colOff>129540</xdr:colOff>
                    <xdr:row>21</xdr:row>
                    <xdr:rowOff>7620</xdr:rowOff>
                  </from>
                  <to>
                    <xdr:col>15</xdr:col>
                    <xdr:colOff>38100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7" name="Button 13">
              <controlPr defaultSize="0" print="0" autoFill="0" autoPict="0" macro="[0]!LimpiaInscripciones">
                <anchor moveWithCells="1" sizeWithCells="1">
                  <from>
                    <xdr:col>11</xdr:col>
                    <xdr:colOff>152400</xdr:colOff>
                    <xdr:row>24</xdr:row>
                    <xdr:rowOff>53340</xdr:rowOff>
                  </from>
                  <to>
                    <xdr:col>15</xdr:col>
                    <xdr:colOff>53340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" id="{D2F9C527-8DE2-4A85-92F5-A2530A3652C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2"/>
              <x14:cfIcon iconSet="3Symbols2" iconId="0"/>
            </x14:iconSet>
          </x14:cfRule>
          <xm:sqref>F7:F53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4BDBA-F30E-486C-8765-F6610BC734C1}">
  <sheetPr codeName="Hoja2">
    <pageSetUpPr fitToPage="1"/>
  </sheetPr>
  <dimension ref="A1:S196"/>
  <sheetViews>
    <sheetView showGridLines="0" zoomScale="90" zoomScaleNormal="90" workbookViewId="0">
      <selection activeCell="I196" sqref="I196"/>
    </sheetView>
  </sheetViews>
  <sheetFormatPr baseColWidth="10" defaultColWidth="0" defaultRowHeight="14.4" x14ac:dyDescent="0.3"/>
  <cols>
    <col min="1" max="1" width="7" style="13" customWidth="1"/>
    <col min="2" max="2" width="28.109375" style="13" bestFit="1" customWidth="1"/>
    <col min="3" max="3" width="25.88671875" style="13" customWidth="1"/>
    <col min="4" max="4" width="6.44140625" style="13" customWidth="1"/>
    <col min="5" max="11" width="4.6640625" style="13" customWidth="1"/>
    <col min="12" max="13" width="5.33203125" style="13" hidden="1" customWidth="1"/>
    <col min="14" max="14" width="5.44140625" style="13" hidden="1" customWidth="1"/>
    <col min="15" max="15" width="7" style="13" hidden="1" customWidth="1"/>
    <col min="16" max="16" width="3.6640625" style="13" customWidth="1"/>
    <col min="17" max="17" width="17" style="13" hidden="1" customWidth="1"/>
    <col min="18" max="18" width="10.33203125" style="13" customWidth="1"/>
    <col min="19" max="19" width="1.6640625" style="13" customWidth="1"/>
    <col min="20" max="16384" width="11.44140625" style="13" hidden="1"/>
  </cols>
  <sheetData>
    <row r="1" spans="1:18" ht="15.75" customHeight="1" x14ac:dyDescent="0.4">
      <c r="A1" s="225" t="str">
        <f>HeadLin1</f>
        <v>Liga de Natación de Antioquia</v>
      </c>
      <c r="B1" s="225"/>
      <c r="C1" s="225"/>
      <c r="D1" s="225"/>
      <c r="E1" s="225"/>
      <c r="F1" s="225"/>
      <c r="G1" s="114"/>
      <c r="H1" s="114"/>
      <c r="I1" s="114"/>
      <c r="J1" s="114"/>
      <c r="K1" s="114"/>
      <c r="L1" s="114"/>
      <c r="M1" s="114"/>
      <c r="N1" s="115"/>
      <c r="O1" s="115"/>
      <c r="P1" s="115"/>
      <c r="Q1" s="115"/>
      <c r="R1" s="115"/>
    </row>
    <row r="2" spans="1:18" ht="15.75" customHeight="1" x14ac:dyDescent="0.4">
      <c r="A2" s="225" t="str">
        <f>HeadLin2</f>
        <v>Festival infantil departamental Fase I</v>
      </c>
      <c r="B2" s="225"/>
      <c r="C2" s="225"/>
      <c r="D2" s="225"/>
      <c r="E2" s="225"/>
      <c r="F2" s="225"/>
      <c r="G2" s="114"/>
      <c r="H2" s="114"/>
      <c r="I2" s="114"/>
      <c r="J2" s="114"/>
      <c r="K2" s="114"/>
      <c r="L2" s="114"/>
      <c r="M2" s="114"/>
      <c r="N2" s="115"/>
      <c r="O2" s="115"/>
      <c r="P2" s="115"/>
      <c r="Q2" s="115"/>
      <c r="R2" s="115"/>
    </row>
    <row r="3" spans="1:18" ht="15.75" customHeight="1" x14ac:dyDescent="0.4">
      <c r="A3" s="225" t="str">
        <f>HeadLin3</f>
        <v>Figuras - Categoría Infantil</v>
      </c>
      <c r="B3" s="225"/>
      <c r="C3" s="225"/>
      <c r="D3" s="225"/>
      <c r="E3" s="225"/>
      <c r="F3" s="225"/>
      <c r="G3" s="114"/>
      <c r="H3" s="114"/>
      <c r="I3" s="114"/>
      <c r="J3" s="114"/>
      <c r="K3" s="114"/>
      <c r="L3" s="114"/>
      <c r="M3" s="114"/>
      <c r="N3" s="115"/>
      <c r="O3" s="115"/>
      <c r="P3" s="115"/>
      <c r="Q3" s="115"/>
      <c r="R3" s="115"/>
    </row>
    <row r="4" spans="1:18" ht="15.75" customHeight="1" x14ac:dyDescent="0.4">
      <c r="A4" s="225" t="str">
        <f>HeadLin4</f>
        <v>Abril 23 de 2022</v>
      </c>
      <c r="B4" s="225"/>
      <c r="C4" s="225"/>
      <c r="D4" s="225"/>
      <c r="E4" s="225"/>
      <c r="F4" s="225"/>
      <c r="G4" s="114"/>
      <c r="H4" s="114"/>
      <c r="I4" s="114"/>
      <c r="J4" s="114"/>
      <c r="K4" s="114"/>
      <c r="L4" s="114"/>
      <c r="M4" s="114"/>
      <c r="N4" s="115"/>
      <c r="O4" s="115"/>
      <c r="P4" s="115"/>
      <c r="Q4" s="115"/>
      <c r="R4" s="115"/>
    </row>
    <row r="5" spans="1:18" ht="10.5" customHeight="1" x14ac:dyDescent="0.4">
      <c r="A5" s="115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</row>
    <row r="6" spans="1:18" x14ac:dyDescent="0.3">
      <c r="A6" s="23"/>
      <c r="B6" s="24"/>
      <c r="C6" s="24"/>
      <c r="D6" s="24"/>
      <c r="E6" s="226" t="s">
        <v>47</v>
      </c>
      <c r="F6" s="226"/>
      <c r="G6" s="226"/>
      <c r="H6" s="226"/>
      <c r="I6" s="226"/>
      <c r="J6" s="226"/>
      <c r="K6" s="226"/>
      <c r="L6" s="136"/>
      <c r="M6" s="136"/>
      <c r="N6" s="136"/>
      <c r="O6" s="136"/>
      <c r="P6" s="136"/>
      <c r="Q6" s="224"/>
      <c r="R6" s="224"/>
    </row>
    <row r="7" spans="1:18" ht="36.450000000000003" customHeight="1" x14ac:dyDescent="0.3">
      <c r="A7" s="89" t="s">
        <v>5</v>
      </c>
      <c r="B7" s="89" t="s">
        <v>6</v>
      </c>
      <c r="C7" s="89" t="s">
        <v>7</v>
      </c>
      <c r="D7" s="94" t="s">
        <v>120</v>
      </c>
      <c r="E7" s="90" t="s">
        <v>68</v>
      </c>
      <c r="F7" s="89" t="s">
        <v>69</v>
      </c>
      <c r="G7" s="89" t="s">
        <v>70</v>
      </c>
      <c r="H7" s="89" t="s">
        <v>71</v>
      </c>
      <c r="I7" s="89" t="s">
        <v>72</v>
      </c>
      <c r="J7" s="89" t="s">
        <v>73</v>
      </c>
      <c r="K7" s="89" t="s">
        <v>74</v>
      </c>
      <c r="L7" s="91" t="s">
        <v>1</v>
      </c>
      <c r="M7" s="91" t="s">
        <v>2</v>
      </c>
      <c r="N7" s="92" t="s">
        <v>76</v>
      </c>
      <c r="O7" s="93" t="s">
        <v>75</v>
      </c>
      <c r="P7" s="91" t="s">
        <v>8</v>
      </c>
      <c r="Q7" s="94" t="s">
        <v>3</v>
      </c>
      <c r="R7" s="95" t="s">
        <v>4</v>
      </c>
    </row>
    <row r="8" spans="1:18" x14ac:dyDescent="0.3">
      <c r="A8" s="96">
        <v>1</v>
      </c>
      <c r="B8" s="104" t="s">
        <v>128</v>
      </c>
      <c r="C8" s="103" t="s">
        <v>122</v>
      </c>
      <c r="D8" s="89">
        <f>Obligatoria1Cod</f>
        <v>106</v>
      </c>
      <c r="E8" s="112">
        <v>0</v>
      </c>
      <c r="F8" s="98">
        <v>0</v>
      </c>
      <c r="G8" s="98">
        <v>0</v>
      </c>
      <c r="H8" s="98">
        <v>0</v>
      </c>
      <c r="I8" s="98">
        <v>0</v>
      </c>
      <c r="J8" s="98" t="str">
        <f>IF(JuecesPanel&gt;=6,"",IF((JuecesPanel+JuecesCalc)&lt;6,"",IF(COUNT(E8:I8)&gt;0,AVERAGE(E8:I8),"")))</f>
        <v/>
      </c>
      <c r="K8" s="98" t="str">
        <f>IF(JuecesPanel&gt;=7,"",IF((JuecesPanel+JuecesCalc)&lt;7,"",IF(COUNT(E8:J8)&gt;0,AVERAGE(E8:J8),"")))</f>
        <v/>
      </c>
      <c r="L8" s="97">
        <f>IF(COUNT(E8:K8)&gt;4,MAX(E8:K8),"")</f>
        <v>0</v>
      </c>
      <c r="M8" s="97">
        <f>IF(COUNT(E8:K8)&gt;4,MIN(E8:K8),"")</f>
        <v>0</v>
      </c>
      <c r="N8" s="105">
        <f>IF(COUNT(E8:K8)&gt;0,(SUM(E8:K8)-( SUM(L8:M8)  ))/(IF(COUNT(E8:K8)&gt;4,COUNT(E8:K8)-2,COUNT(E8:K8))),"")</f>
        <v>0</v>
      </c>
      <c r="O8" s="138">
        <f>IF(COUNT(E8:K8)&gt;0,N8*Obligatoria1GD,"")</f>
        <v>0</v>
      </c>
      <c r="P8" s="144"/>
      <c r="Q8" s="141">
        <f>IF(COUNT(E8:K11)&gt;0,SUM(O8:O11),"")</f>
        <v>17.663333333333334</v>
      </c>
      <c r="R8" s="106">
        <f>IF(COUNT(E8:K11)&gt;0,((Q8/TotalGD)*10)-SUM(P8:P11),0)</f>
        <v>24.532407407407408</v>
      </c>
    </row>
    <row r="9" spans="1:18" x14ac:dyDescent="0.3">
      <c r="A9" s="87"/>
      <c r="B9" s="86"/>
      <c r="C9" s="87"/>
      <c r="D9" s="89">
        <f>Obligatoria2Cod</f>
        <v>301</v>
      </c>
      <c r="E9" s="101">
        <v>3.5</v>
      </c>
      <c r="F9" s="25">
        <v>3.1</v>
      </c>
      <c r="G9" s="25">
        <v>3.5</v>
      </c>
      <c r="H9" s="25">
        <v>3.2</v>
      </c>
      <c r="I9" s="25">
        <v>3.2</v>
      </c>
      <c r="J9" s="25" t="str">
        <f>IF(JuecesPanel&gt;=6,"",IF((JuecesPanel+JuecesCalc)&lt;6,"",IF(COUNT(E9:I9)&gt;0,AVERAGE(E9:I9),"")))</f>
        <v/>
      </c>
      <c r="K9" s="25" t="str">
        <f>IF(JuecesPanel&gt;=7,"",IF((JuecesPanel+JuecesCalc)&lt;7,"",IF(COUNT(E9:J9)&gt;0,AVERAGE(E9:J9),"")))</f>
        <v/>
      </c>
      <c r="L9" s="25">
        <f>IF(COUNT(E9:K9)&gt;4,MAX(E9:K9),"")</f>
        <v>3.5</v>
      </c>
      <c r="M9" s="25">
        <f>IF(COUNT(E9:K9)&gt;4,MIN(E9:K9),"")</f>
        <v>3.1</v>
      </c>
      <c r="N9" s="88">
        <f>IF(COUNT(E9:K9)&gt;0,(SUM(E9:K9)-( SUM(L9:M9)  ))/(IF(COUNT(E9:K9)&gt;4,COUNT(E9:K9)-2,COUNT(E9:K9))),"")</f>
        <v>3.3000000000000003</v>
      </c>
      <c r="O9" s="139">
        <f>IF(COUNT(E9:K9)&gt;0,N9*Obligatoria2GD,"")</f>
        <v>6.2700000000000005</v>
      </c>
      <c r="P9" s="145"/>
      <c r="Q9" s="142"/>
      <c r="R9" s="107"/>
    </row>
    <row r="10" spans="1:18" x14ac:dyDescent="0.3">
      <c r="A10" s="87"/>
      <c r="B10" s="86"/>
      <c r="C10" s="87"/>
      <c r="D10" s="89">
        <f>Opcional1Cod</f>
        <v>420</v>
      </c>
      <c r="E10" s="113">
        <v>2.8</v>
      </c>
      <c r="F10" s="26">
        <v>3</v>
      </c>
      <c r="G10" s="26">
        <v>3</v>
      </c>
      <c r="H10" s="26">
        <v>2.7</v>
      </c>
      <c r="I10" s="26">
        <v>3</v>
      </c>
      <c r="J10" s="26" t="str">
        <f>IF(JuecesPanel&gt;=6,"",IF((JuecesPanel+JuecesCalc)&lt;6,"",IF(COUNT(E10:I10)&gt;0,AVERAGE(E10:I10),"")))</f>
        <v/>
      </c>
      <c r="K10" s="26" t="str">
        <f>IF(JuecesPanel&gt;=7,"",IF((JuecesPanel+JuecesCalc)&lt;7,"",IF(COUNT(E10:J10)&gt;0,AVERAGE(E10:J10),"")))</f>
        <v/>
      </c>
      <c r="L10" s="25">
        <f>IF(COUNT(E10:K10)&gt;4,MAX(E10:K10),"")</f>
        <v>3</v>
      </c>
      <c r="M10" s="25">
        <f>IF(COUNT(E10:K10)&gt;4,MIN(E10:K10),"")</f>
        <v>2.7</v>
      </c>
      <c r="N10" s="88">
        <f>IF(COUNT(E10:K10)&gt;0,(SUM(E10:K10)-( SUM(L10:M10)  ))/(IF(COUNT(E10:K10)&gt;4,COUNT(E10:K10)-2,COUNT(E10:K10))),"")</f>
        <v>2.9333333333333336</v>
      </c>
      <c r="O10" s="139">
        <f>IF(COUNT(E10:K10)&gt;0,N10*Opcional1GD,"")</f>
        <v>5.5733333333333333</v>
      </c>
      <c r="P10" s="145"/>
      <c r="Q10" s="142"/>
      <c r="R10" s="107"/>
    </row>
    <row r="11" spans="1:18" x14ac:dyDescent="0.3">
      <c r="A11" s="108"/>
      <c r="B11" s="109"/>
      <c r="C11" s="108"/>
      <c r="D11" s="89">
        <f>Opcional2Cod</f>
        <v>327</v>
      </c>
      <c r="E11" s="102">
        <v>3.6</v>
      </c>
      <c r="F11" s="99">
        <v>3.5</v>
      </c>
      <c r="G11" s="99">
        <v>3.1</v>
      </c>
      <c r="H11" s="99">
        <v>3.1</v>
      </c>
      <c r="I11" s="99">
        <v>2.9</v>
      </c>
      <c r="J11" s="99" t="str">
        <f>IF(JuecesPanel&gt;=6,"",IF((JuecesPanel+JuecesCalc)&lt;6,"",IF(COUNT(E11:I11)&gt;0,AVERAGE(E11:I11),"")))</f>
        <v/>
      </c>
      <c r="K11" s="99" t="str">
        <f>IF(JuecesPanel&gt;=7,"",IF((JuecesPanel+JuecesCalc)&lt;7,"",IF(COUNT(E11:J11)&gt;0,AVERAGE(E11:J11),"")))</f>
        <v/>
      </c>
      <c r="L11" s="99">
        <f>IF(COUNT(E11:K11)&gt;4,MAX(E11:K11),"")</f>
        <v>3.6</v>
      </c>
      <c r="M11" s="99">
        <f>IF(COUNT(E11:K11)&gt;4,MIN(E11:K11),"")</f>
        <v>2.9</v>
      </c>
      <c r="N11" s="110">
        <f>IF(COUNT(E11:K11)&gt;0,(SUM(E11:K11)-( SUM(L11:M11)  ))/(IF(COUNT(E11:K11)&gt;4,COUNT(E11:K11)-2,COUNT(E11:K11))),"")</f>
        <v>3.2333333333333329</v>
      </c>
      <c r="O11" s="140">
        <f>IF(COUNT(E11:K11)&gt;0,N11*Opcional2GD,"")</f>
        <v>5.8199999999999994</v>
      </c>
      <c r="P11" s="146"/>
      <c r="Q11" s="143"/>
      <c r="R11" s="111"/>
    </row>
    <row r="12" spans="1:18" x14ac:dyDescent="0.3">
      <c r="A12" s="147">
        <v>2</v>
      </c>
      <c r="B12" s="186" t="s">
        <v>132</v>
      </c>
      <c r="C12" s="187" t="s">
        <v>124</v>
      </c>
      <c r="D12" s="148" t="s">
        <v>113</v>
      </c>
      <c r="E12" s="149" t="s">
        <v>113</v>
      </c>
      <c r="F12" s="150" t="s">
        <v>113</v>
      </c>
      <c r="G12" s="150" t="s">
        <v>113</v>
      </c>
      <c r="H12" s="150" t="s">
        <v>113</v>
      </c>
      <c r="I12" s="150" t="s">
        <v>113</v>
      </c>
      <c r="J12" s="150" t="s">
        <v>113</v>
      </c>
      <c r="K12" s="151" t="s">
        <v>113</v>
      </c>
      <c r="L12" s="152" t="str">
        <f>IF(COUNT(E12:K12)&gt;4,MAX(E12:K12),"")</f>
        <v/>
      </c>
      <c r="M12" s="153" t="str">
        <f>IF(COUNT(E12:K12)&gt;4,MIN(E12:K12),"")</f>
        <v/>
      </c>
      <c r="N12" s="154" t="str">
        <f>IF(COUNT(E12:K12)&gt;0,(SUM(E12:K12)-( SUM(L12:M12)  ))/(IF(COUNT(E12:K12)&gt;4,COUNT(E12:K12)-2,COUNT(E12:K12))),"")</f>
        <v/>
      </c>
      <c r="O12" s="155" t="str">
        <f>IF(COUNT(E12:K12)&gt;0,N12*Obligatoria1GD,"")</f>
        <v/>
      </c>
      <c r="P12" s="156"/>
      <c r="Q12" s="157" t="str">
        <f>IF(COUNT(E12:K15)&gt;0,SUM(O12:O15),"")</f>
        <v/>
      </c>
      <c r="R12" s="158"/>
    </row>
    <row r="13" spans="1:18" x14ac:dyDescent="0.3">
      <c r="A13" s="159"/>
      <c r="B13" s="160"/>
      <c r="C13" s="161"/>
      <c r="D13" s="162" t="s">
        <v>113</v>
      </c>
      <c r="E13" s="163" t="s">
        <v>113</v>
      </c>
      <c r="F13" s="164" t="s">
        <v>113</v>
      </c>
      <c r="G13" s="164" t="s">
        <v>113</v>
      </c>
      <c r="H13" s="164" t="s">
        <v>113</v>
      </c>
      <c r="I13" s="164" t="s">
        <v>113</v>
      </c>
      <c r="J13" s="164" t="s">
        <v>113</v>
      </c>
      <c r="K13" s="165" t="s">
        <v>113</v>
      </c>
      <c r="L13" s="166" t="str">
        <f>IF(COUNT(E13:K13)&gt;4,MAX(E13:K13),"")</f>
        <v/>
      </c>
      <c r="M13" s="167" t="str">
        <f>IF(COUNT(E13:K13)&gt;4,MIN(E13:K13),"")</f>
        <v/>
      </c>
      <c r="N13" s="168" t="str">
        <f>IF(COUNT(E13:K13)&gt;0,(SUM(E13:K13)-( SUM(L13:M13)  ))/(IF(COUNT(E13:K13)&gt;4,COUNT(E13:K13)-2,COUNT(E13:K13))),"")</f>
        <v/>
      </c>
      <c r="O13" s="169" t="str">
        <f>IF(COUNT(E13:K13)&gt;0,N13*Obligatoria2GD,"")</f>
        <v/>
      </c>
      <c r="P13" s="170"/>
      <c r="Q13" s="171"/>
      <c r="R13" s="172"/>
    </row>
    <row r="14" spans="1:18" x14ac:dyDescent="0.3">
      <c r="A14" s="159"/>
      <c r="B14" s="160"/>
      <c r="C14" s="161"/>
      <c r="D14" s="162" t="s">
        <v>113</v>
      </c>
      <c r="E14" s="163" t="s">
        <v>113</v>
      </c>
      <c r="F14" s="164" t="s">
        <v>113</v>
      </c>
      <c r="G14" s="164" t="s">
        <v>113</v>
      </c>
      <c r="H14" s="164" t="s">
        <v>113</v>
      </c>
      <c r="I14" s="164" t="s">
        <v>113</v>
      </c>
      <c r="J14" s="164" t="s">
        <v>113</v>
      </c>
      <c r="K14" s="165" t="s">
        <v>113</v>
      </c>
      <c r="L14" s="166" t="str">
        <f>IF(COUNT(E14:K14)&gt;4,MAX(E14:K14),"")</f>
        <v/>
      </c>
      <c r="M14" s="167" t="str">
        <f>IF(COUNT(E14:K14)&gt;4,MIN(E14:K14),"")</f>
        <v/>
      </c>
      <c r="N14" s="168" t="str">
        <f>IF(COUNT(E14:K14)&gt;0,(SUM(E14:K14)-( SUM(L14:M14)  ))/(IF(COUNT(E14:K14)&gt;4,COUNT(E14:K14)-2,COUNT(E14:K14))),"")</f>
        <v/>
      </c>
      <c r="O14" s="169" t="str">
        <f>IF(COUNT(E14:K14)&gt;0,N14*Opcional1GD,"")</f>
        <v/>
      </c>
      <c r="P14" s="170"/>
      <c r="Q14" s="171"/>
      <c r="R14" s="172"/>
    </row>
    <row r="15" spans="1:18" x14ac:dyDescent="0.3">
      <c r="A15" s="173"/>
      <c r="B15" s="174"/>
      <c r="C15" s="175"/>
      <c r="D15" s="162" t="s">
        <v>113</v>
      </c>
      <c r="E15" s="176" t="s">
        <v>113</v>
      </c>
      <c r="F15" s="177" t="s">
        <v>113</v>
      </c>
      <c r="G15" s="177" t="s">
        <v>113</v>
      </c>
      <c r="H15" s="177" t="s">
        <v>113</v>
      </c>
      <c r="I15" s="177" t="s">
        <v>113</v>
      </c>
      <c r="J15" s="177" t="s">
        <v>113</v>
      </c>
      <c r="K15" s="178" t="s">
        <v>113</v>
      </c>
      <c r="L15" s="179" t="str">
        <f>IF(COUNT(E15:K15)&gt;4,MAX(E15:K15),"")</f>
        <v/>
      </c>
      <c r="M15" s="180" t="str">
        <f>IF(COUNT(E15:K15)&gt;4,MIN(E15:K15),"")</f>
        <v/>
      </c>
      <c r="N15" s="181" t="str">
        <f>IF(COUNT(E15:K15)&gt;0,(SUM(E15:K15)-( SUM(L15:M15)  ))/(IF(COUNT(E15:K15)&gt;4,COUNT(E15:K15)-2,COUNT(E15:K15))),"")</f>
        <v/>
      </c>
      <c r="O15" s="182" t="str">
        <f>IF(COUNT(E15:K15)&gt;0,N15*Opcional2GD,"")</f>
        <v/>
      </c>
      <c r="P15" s="183"/>
      <c r="Q15" s="184"/>
      <c r="R15" s="185"/>
    </row>
    <row r="16" spans="1:18" x14ac:dyDescent="0.3">
      <c r="A16" s="96">
        <v>3</v>
      </c>
      <c r="B16" s="104" t="s">
        <v>137</v>
      </c>
      <c r="C16" s="103" t="s">
        <v>121</v>
      </c>
      <c r="D16" s="89">
        <f>Obligatoria1Cod</f>
        <v>106</v>
      </c>
      <c r="E16" s="112">
        <v>5.2</v>
      </c>
      <c r="F16" s="98">
        <v>5.2</v>
      </c>
      <c r="G16" s="98">
        <v>5.2</v>
      </c>
      <c r="H16" s="98">
        <v>5.3</v>
      </c>
      <c r="I16" s="98">
        <v>4.9000000000000004</v>
      </c>
      <c r="J16" s="98" t="str">
        <f>IF(JuecesPanel&gt;=6,"",IF((JuecesPanel+JuecesCalc)&lt;6,"",IF(COUNT(E16:I16)&gt;0,AVERAGE(E16:I16),"")))</f>
        <v/>
      </c>
      <c r="K16" s="98" t="str">
        <f>IF(JuecesPanel&gt;=7,"",IF((JuecesPanel+JuecesCalc)&lt;7,"",IF(COUNT(E16:J16)&gt;0,AVERAGE(E16:J16),"")))</f>
        <v/>
      </c>
      <c r="L16" s="97">
        <f>IF(COUNT(E16:K16)&gt;4,MAX(E16:K16),"")</f>
        <v>5.3</v>
      </c>
      <c r="M16" s="97">
        <f>IF(COUNT(E16:K16)&gt;4,MIN(E16:K16),"")</f>
        <v>4.9000000000000004</v>
      </c>
      <c r="N16" s="105">
        <f>IF(COUNT(E16:K16)&gt;0,(SUM(E16:K16)-( SUM(L16:M16)  ))/(IF(COUNT(E16:K16)&gt;4,COUNT(E16:K16)-2,COUNT(E16:K16))),"")</f>
        <v>5.200000000000002</v>
      </c>
      <c r="O16" s="138">
        <f>IF(COUNT(E16:K16)&gt;0,N16*Obligatoria1GD,"")</f>
        <v>8.3200000000000038</v>
      </c>
      <c r="P16" s="144"/>
      <c r="Q16" s="141">
        <f>IF(COUNT(E16:K19)&gt;0,SUM(O16:O19),"")</f>
        <v>26.116666666666667</v>
      </c>
      <c r="R16" s="106">
        <f>IF(COUNT(E16:K19)&gt;0,((Q16/TotalGD)*10)-SUM(P16:P19),0)</f>
        <v>36.273148148148152</v>
      </c>
    </row>
    <row r="17" spans="1:18" x14ac:dyDescent="0.3">
      <c r="A17" s="87"/>
      <c r="B17" s="86"/>
      <c r="C17" s="87"/>
      <c r="D17" s="89">
        <f>Obligatoria2Cod</f>
        <v>301</v>
      </c>
      <c r="E17" s="101">
        <v>4.9000000000000004</v>
      </c>
      <c r="F17" s="25">
        <v>4.5</v>
      </c>
      <c r="G17" s="25">
        <v>5.0999999999999996</v>
      </c>
      <c r="H17" s="25">
        <v>4.5999999999999996</v>
      </c>
      <c r="I17" s="25">
        <v>4.7</v>
      </c>
      <c r="J17" s="25" t="str">
        <f>IF(JuecesPanel&gt;=6,"",IF((JuecesPanel+JuecesCalc)&lt;6,"",IF(COUNT(E17:I17)&gt;0,AVERAGE(E17:I17),"")))</f>
        <v/>
      </c>
      <c r="K17" s="25" t="str">
        <f>IF(JuecesPanel&gt;=7,"",IF((JuecesPanel+JuecesCalc)&lt;7,"",IF(COUNT(E17:J17)&gt;0,AVERAGE(E17:J17),"")))</f>
        <v/>
      </c>
      <c r="L17" s="25">
        <f>IF(COUNT(E17:K17)&gt;4,MAX(E17:K17),"")</f>
        <v>5.0999999999999996</v>
      </c>
      <c r="M17" s="25">
        <f>IF(COUNT(E17:K17)&gt;4,MIN(E17:K17),"")</f>
        <v>4.5</v>
      </c>
      <c r="N17" s="88">
        <f>IF(COUNT(E17:K17)&gt;0,(SUM(E17:K17)-( SUM(L17:M17)  ))/(IF(COUNT(E17:K17)&gt;4,COUNT(E17:K17)-2,COUNT(E17:K17))),"")</f>
        <v>4.7333333333333334</v>
      </c>
      <c r="O17" s="139">
        <f>IF(COUNT(E17:K17)&gt;0,N17*Obligatoria2GD,"")</f>
        <v>8.9933333333333323</v>
      </c>
      <c r="P17" s="145"/>
      <c r="Q17" s="142"/>
      <c r="R17" s="107"/>
    </row>
    <row r="18" spans="1:18" x14ac:dyDescent="0.3">
      <c r="A18" s="87"/>
      <c r="B18" s="86"/>
      <c r="C18" s="87"/>
      <c r="D18" s="89">
        <f>Opcional1Cod</f>
        <v>420</v>
      </c>
      <c r="E18" s="113">
        <v>4.5999999999999996</v>
      </c>
      <c r="F18" s="26">
        <v>4.5999999999999996</v>
      </c>
      <c r="G18" s="26">
        <v>4.3</v>
      </c>
      <c r="H18" s="26">
        <v>5</v>
      </c>
      <c r="I18" s="26">
        <v>4.7</v>
      </c>
      <c r="J18" s="26" t="str">
        <f>IF(JuecesPanel&gt;=6,"",IF((JuecesPanel+JuecesCalc)&lt;6,"",IF(COUNT(E18:I18)&gt;0,AVERAGE(E18:I18),"")))</f>
        <v/>
      </c>
      <c r="K18" s="26" t="str">
        <f>IF(JuecesPanel&gt;=7,"",IF((JuecesPanel+JuecesCalc)&lt;7,"",IF(COUNT(E18:J18)&gt;0,AVERAGE(E18:J18),"")))</f>
        <v/>
      </c>
      <c r="L18" s="25">
        <f>IF(COUNT(E18:K18)&gt;4,MAX(E18:K18),"")</f>
        <v>5</v>
      </c>
      <c r="M18" s="25">
        <f>IF(COUNT(E18:K18)&gt;4,MIN(E18:K18),"")</f>
        <v>4.3</v>
      </c>
      <c r="N18" s="88">
        <f>IF(COUNT(E18:K18)&gt;0,(SUM(E18:K18)-( SUM(L18:M18)  ))/(IF(COUNT(E18:K18)&gt;4,COUNT(E18:K18)-2,COUNT(E18:K18))),"")</f>
        <v>4.6333333333333329</v>
      </c>
      <c r="O18" s="139">
        <f>IF(COUNT(E18:K18)&gt;0,N18*Opcional1GD,"")</f>
        <v>8.8033333333333328</v>
      </c>
      <c r="P18" s="145"/>
      <c r="Q18" s="142"/>
      <c r="R18" s="107"/>
    </row>
    <row r="19" spans="1:18" x14ac:dyDescent="0.3">
      <c r="A19" s="108"/>
      <c r="B19" s="109"/>
      <c r="C19" s="108"/>
      <c r="D19" s="89">
        <f>Opcional2Cod</f>
        <v>327</v>
      </c>
      <c r="E19" s="102">
        <v>0</v>
      </c>
      <c r="F19" s="99">
        <v>0</v>
      </c>
      <c r="G19" s="99">
        <v>0</v>
      </c>
      <c r="H19" s="99">
        <v>0</v>
      </c>
      <c r="I19" s="99">
        <v>0</v>
      </c>
      <c r="J19" s="99" t="str">
        <f>IF(JuecesPanel&gt;=6,"",IF((JuecesPanel+JuecesCalc)&lt;6,"",IF(COUNT(E19:I19)&gt;0,AVERAGE(E19:I19),"")))</f>
        <v/>
      </c>
      <c r="K19" s="99" t="str">
        <f>IF(JuecesPanel&gt;=7,"",IF((JuecesPanel+JuecesCalc)&lt;7,"",IF(COUNT(E19:J19)&gt;0,AVERAGE(E19:J19),"")))</f>
        <v/>
      </c>
      <c r="L19" s="99">
        <f>IF(COUNT(E19:K19)&gt;4,MAX(E19:K19),"")</f>
        <v>0</v>
      </c>
      <c r="M19" s="99">
        <f>IF(COUNT(E19:K19)&gt;4,MIN(E19:K19),"")</f>
        <v>0</v>
      </c>
      <c r="N19" s="110">
        <f>IF(COUNT(E19:K19)&gt;0,(SUM(E19:K19)-( SUM(L19:M19)  ))/(IF(COUNT(E19:K19)&gt;4,COUNT(E19:K19)-2,COUNT(E19:K19))),"")</f>
        <v>0</v>
      </c>
      <c r="O19" s="140">
        <f>IF(COUNT(E19:K19)&gt;0,N19*Opcional2GD,"")</f>
        <v>0</v>
      </c>
      <c r="P19" s="146"/>
      <c r="Q19" s="143"/>
      <c r="R19" s="111"/>
    </row>
    <row r="20" spans="1:18" x14ac:dyDescent="0.3">
      <c r="A20" s="96">
        <v>4</v>
      </c>
      <c r="B20" s="104" t="s">
        <v>138</v>
      </c>
      <c r="C20" s="103" t="s">
        <v>122</v>
      </c>
      <c r="D20" s="89">
        <f>Obligatoria1Cod</f>
        <v>106</v>
      </c>
      <c r="E20" s="112">
        <v>4.2</v>
      </c>
      <c r="F20" s="98">
        <v>3.9</v>
      </c>
      <c r="G20" s="98">
        <v>4</v>
      </c>
      <c r="H20" s="98">
        <v>4.5</v>
      </c>
      <c r="I20" s="98">
        <v>4.3</v>
      </c>
      <c r="J20" s="98" t="str">
        <f>IF(JuecesPanel&gt;=6,"",IF((JuecesPanel+JuecesCalc)&lt;6,"",IF(COUNT(E20:I20)&gt;0,AVERAGE(E20:I20),"")))</f>
        <v/>
      </c>
      <c r="K20" s="98" t="str">
        <f>IF(JuecesPanel&gt;=7,"",IF((JuecesPanel+JuecesCalc)&lt;7,"",IF(COUNT(E20:J20)&gt;0,AVERAGE(E20:J20),"")))</f>
        <v/>
      </c>
      <c r="L20" s="97">
        <f>IF(COUNT(E20:K20)&gt;4,MAX(E20:K20),"")</f>
        <v>4.5</v>
      </c>
      <c r="M20" s="97">
        <f>IF(COUNT(E20:K20)&gt;4,MIN(E20:K20),"")</f>
        <v>3.9</v>
      </c>
      <c r="N20" s="105">
        <f>IF(COUNT(E20:K20)&gt;0,(SUM(E20:K20)-( SUM(L20:M20)  ))/(IF(COUNT(E20:K20)&gt;4,COUNT(E20:K20)-2,COUNT(E20:K20))),"")</f>
        <v>4.166666666666667</v>
      </c>
      <c r="O20" s="138">
        <f>IF(COUNT(E20:K20)&gt;0,N20*Obligatoria1GD,"")</f>
        <v>6.6666666666666679</v>
      </c>
      <c r="P20" s="144"/>
      <c r="Q20" s="141">
        <f>IF(COUNT(E20:K23)&gt;0,SUM(O20:O23),"")</f>
        <v>13.823333333333336</v>
      </c>
      <c r="R20" s="106">
        <f>IF(COUNT(E20:K23)&gt;0,((Q20/TotalGD)*10)-SUM(P20:P23),0)</f>
        <v>19.199074074074076</v>
      </c>
    </row>
    <row r="21" spans="1:18" x14ac:dyDescent="0.3">
      <c r="A21" s="87"/>
      <c r="B21" s="86"/>
      <c r="C21" s="87"/>
      <c r="D21" s="89">
        <f>Obligatoria2Cod</f>
        <v>301</v>
      </c>
      <c r="E21" s="101">
        <v>3.6</v>
      </c>
      <c r="F21" s="25">
        <v>3.7</v>
      </c>
      <c r="G21" s="25">
        <v>3.8</v>
      </c>
      <c r="H21" s="25">
        <v>3.8</v>
      </c>
      <c r="I21" s="25">
        <v>3.8</v>
      </c>
      <c r="J21" s="25" t="str">
        <f>IF(JuecesPanel&gt;=6,"",IF((JuecesPanel+JuecesCalc)&lt;6,"",IF(COUNT(E21:I21)&gt;0,AVERAGE(E21:I21),"")))</f>
        <v/>
      </c>
      <c r="K21" s="25" t="str">
        <f>IF(JuecesPanel&gt;=7,"",IF((JuecesPanel+JuecesCalc)&lt;7,"",IF(COUNT(E21:J21)&gt;0,AVERAGE(E21:J21),"")))</f>
        <v/>
      </c>
      <c r="L21" s="25">
        <f>IF(COUNT(E21:K21)&gt;4,MAX(E21:K21),"")</f>
        <v>3.8</v>
      </c>
      <c r="M21" s="25">
        <f>IF(COUNT(E21:K21)&gt;4,MIN(E21:K21),"")</f>
        <v>3.6</v>
      </c>
      <c r="N21" s="88">
        <f>IF(COUNT(E21:K21)&gt;0,(SUM(E21:K21)-( SUM(L21:M21)  ))/(IF(COUNT(E21:K21)&gt;4,COUNT(E21:K21)-2,COUNT(E21:K21))),"")</f>
        <v>3.7666666666666675</v>
      </c>
      <c r="O21" s="139">
        <f>IF(COUNT(E21:K21)&gt;0,N21*Obligatoria2GD,"")</f>
        <v>7.1566666666666681</v>
      </c>
      <c r="P21" s="145"/>
      <c r="Q21" s="142"/>
      <c r="R21" s="107"/>
    </row>
    <row r="22" spans="1:18" x14ac:dyDescent="0.3">
      <c r="A22" s="87"/>
      <c r="B22" s="86"/>
      <c r="C22" s="87"/>
      <c r="D22" s="89">
        <f>Opcional1Cod</f>
        <v>420</v>
      </c>
      <c r="E22" s="233"/>
      <c r="F22" s="234"/>
      <c r="G22" s="234" t="str">
        <f>IF(JuecesPanel&gt;=3,"",IF((JuecesPanel+JuecesCalc)&lt;3,"",IF(COUNT(E22:F22)&gt;0,AVERAGE(E22:F22),"")))</f>
        <v/>
      </c>
      <c r="H22" s="234" t="str">
        <f>IF(JuecesPanel&gt;=4,"",IF((JuecesPanel+JuecesCalc)&lt;4,"",IF(COUNT(E22:G22)&gt;0,AVERAGE(E22:G22),"")))</f>
        <v/>
      </c>
      <c r="I22" s="234" t="str">
        <f>IF(JuecesPanel&gt;=5,"",IF((JuecesPanel+JuecesCalc)&lt;5,"",IF(COUNT(E22:H22)&gt;0,AVERAGE(E22:H22),"")))</f>
        <v/>
      </c>
      <c r="J22" s="234" t="str">
        <f>IF(JuecesPanel&gt;=6,"",IF((JuecesPanel+JuecesCalc)&lt;6,"",IF(COUNT(E22:I22)&gt;0,AVERAGE(E22:I22),"")))</f>
        <v/>
      </c>
      <c r="K22" s="234" t="str">
        <f>IF(JuecesPanel&gt;=7,"",IF((JuecesPanel+JuecesCalc)&lt;7,"",IF(COUNT(E22:J22)&gt;0,AVERAGE(E22:J22),"")))</f>
        <v/>
      </c>
      <c r="L22" s="234" t="str">
        <f>IF(COUNT(E22:K22)&gt;4,MAX(E22:K22),"")</f>
        <v/>
      </c>
      <c r="M22" s="234" t="str">
        <f>IF(COUNT(E22:K22)&gt;4,MIN(E22:K22),"")</f>
        <v/>
      </c>
      <c r="N22" s="235" t="str">
        <f>IF(COUNT(E22:K22)&gt;0,(SUM(E22:K22)-( SUM(L22:M22)  ))/(IF(COUNT(E22:K22)&gt;4,COUNT(E22:K22)-2,COUNT(E22:K22))),"")</f>
        <v/>
      </c>
      <c r="O22" s="236" t="str">
        <f>IF(COUNT(E22:K22)&gt;0,N22*Opcional1GD,"")</f>
        <v/>
      </c>
      <c r="P22" s="237"/>
      <c r="Q22" s="142"/>
      <c r="R22" s="107"/>
    </row>
    <row r="23" spans="1:18" x14ac:dyDescent="0.3">
      <c r="A23" s="108"/>
      <c r="B23" s="109"/>
      <c r="C23" s="108"/>
      <c r="D23" s="89">
        <f>Opcional2Cod</f>
        <v>327</v>
      </c>
      <c r="E23" s="238"/>
      <c r="F23" s="239"/>
      <c r="G23" s="239" t="str">
        <f>IF(JuecesPanel&gt;=3,"",IF((JuecesPanel+JuecesCalc)&lt;3,"",IF(COUNT(E23:F23)&gt;0,AVERAGE(E23:F23),"")))</f>
        <v/>
      </c>
      <c r="H23" s="239" t="str">
        <f>IF(JuecesPanel&gt;=4,"",IF((JuecesPanel+JuecesCalc)&lt;4,"",IF(COUNT(E23:G23)&gt;0,AVERAGE(E23:G23),"")))</f>
        <v/>
      </c>
      <c r="I23" s="239" t="str">
        <f>IF(JuecesPanel&gt;=5,"",IF((JuecesPanel+JuecesCalc)&lt;5,"",IF(COUNT(E23:H23)&gt;0,AVERAGE(E23:H23),"")))</f>
        <v/>
      </c>
      <c r="J23" s="239" t="str">
        <f>IF(JuecesPanel&gt;=6,"",IF((JuecesPanel+JuecesCalc)&lt;6,"",IF(COUNT(E23:I23)&gt;0,AVERAGE(E23:I23),"")))</f>
        <v/>
      </c>
      <c r="K23" s="239" t="str">
        <f>IF(JuecesPanel&gt;=7,"",IF((JuecesPanel+JuecesCalc)&lt;7,"",IF(COUNT(E23:J23)&gt;0,AVERAGE(E23:J23),"")))</f>
        <v/>
      </c>
      <c r="L23" s="239" t="str">
        <f>IF(COUNT(E23:K23)&gt;4,MAX(E23:K23),"")</f>
        <v/>
      </c>
      <c r="M23" s="239" t="str">
        <f>IF(COUNT(E23:K23)&gt;4,MIN(E23:K23),"")</f>
        <v/>
      </c>
      <c r="N23" s="240" t="str">
        <f>IF(COUNT(E23:K23)&gt;0,(SUM(E23:K23)-( SUM(L23:M23)  ))/(IF(COUNT(E23:K23)&gt;4,COUNT(E23:K23)-2,COUNT(E23:K23))),"")</f>
        <v/>
      </c>
      <c r="O23" s="241" t="str">
        <f>IF(COUNT(E23:K23)&gt;0,N23*Opcional2GD,"")</f>
        <v/>
      </c>
      <c r="P23" s="242"/>
      <c r="Q23" s="143"/>
      <c r="R23" s="111"/>
    </row>
    <row r="24" spans="1:18" x14ac:dyDescent="0.3">
      <c r="A24" s="96">
        <v>5</v>
      </c>
      <c r="B24" s="104" t="s">
        <v>139</v>
      </c>
      <c r="C24" s="103" t="s">
        <v>114</v>
      </c>
      <c r="D24" s="89">
        <f>Obligatoria1Cod</f>
        <v>106</v>
      </c>
      <c r="E24" s="112">
        <v>3.8</v>
      </c>
      <c r="F24" s="98">
        <v>3.6</v>
      </c>
      <c r="G24" s="98">
        <v>3.8</v>
      </c>
      <c r="H24" s="98">
        <v>4.5999999999999996</v>
      </c>
      <c r="I24" s="98">
        <v>4.4000000000000004</v>
      </c>
      <c r="J24" s="98" t="str">
        <f>IF(JuecesPanel&gt;=6,"",IF((JuecesPanel+JuecesCalc)&lt;6,"",IF(COUNT(E24:I24)&gt;0,AVERAGE(E24:I24),"")))</f>
        <v/>
      </c>
      <c r="K24" s="98" t="str">
        <f>IF(JuecesPanel&gt;=7,"",IF((JuecesPanel+JuecesCalc)&lt;7,"",IF(COUNT(E24:J24)&gt;0,AVERAGE(E24:J24),"")))</f>
        <v/>
      </c>
      <c r="L24" s="97">
        <f>IF(COUNT(E24:K24)&gt;4,MAX(E24:K24),"")</f>
        <v>4.5999999999999996</v>
      </c>
      <c r="M24" s="97">
        <f>IF(COUNT(E24:K24)&gt;4,MIN(E24:K24),"")</f>
        <v>3.6</v>
      </c>
      <c r="N24" s="105">
        <f>IF(COUNT(E24:K24)&gt;0,(SUM(E24:K24)-( SUM(L24:M24)  ))/(IF(COUNT(E24:K24)&gt;4,COUNT(E24:K24)-2,COUNT(E24:K24))),"")</f>
        <v>4</v>
      </c>
      <c r="O24" s="138">
        <f>IF(COUNT(E24:K24)&gt;0,N24*Obligatoria1GD,"")</f>
        <v>6.4</v>
      </c>
      <c r="P24" s="144"/>
      <c r="Q24" s="141">
        <f>IF(COUNT(E24:K27)&gt;0,SUM(O24:O27),"")</f>
        <v>28.723333333333333</v>
      </c>
      <c r="R24" s="106">
        <f>IF(COUNT(E24:K27)&gt;0,((Q24/TotalGD)*10)-SUM(P24:P27),0)</f>
        <v>39.893518518518519</v>
      </c>
    </row>
    <row r="25" spans="1:18" x14ac:dyDescent="0.3">
      <c r="A25" s="87"/>
      <c r="B25" s="86"/>
      <c r="C25" s="87"/>
      <c r="D25" s="89">
        <f>Obligatoria2Cod</f>
        <v>301</v>
      </c>
      <c r="E25" s="101">
        <v>3.7</v>
      </c>
      <c r="F25" s="25">
        <v>4.0999999999999996</v>
      </c>
      <c r="G25" s="25">
        <v>4</v>
      </c>
      <c r="H25" s="25">
        <v>4.1399999999999997</v>
      </c>
      <c r="I25" s="25">
        <v>4.0999999999999996</v>
      </c>
      <c r="J25" s="25" t="str">
        <f>IF(JuecesPanel&gt;=6,"",IF((JuecesPanel+JuecesCalc)&lt;6,"",IF(COUNT(E25:I25)&gt;0,AVERAGE(E25:I25),"")))</f>
        <v/>
      </c>
      <c r="K25" s="25" t="str">
        <f>IF(JuecesPanel&gt;=7,"",IF((JuecesPanel+JuecesCalc)&lt;7,"",IF(COUNT(E25:J25)&gt;0,AVERAGE(E25:J25),"")))</f>
        <v/>
      </c>
      <c r="L25" s="25">
        <f>IF(COUNT(E25:K25)&gt;4,MAX(E25:K25),"")</f>
        <v>4.1399999999999997</v>
      </c>
      <c r="M25" s="25">
        <f>IF(COUNT(E25:K25)&gt;4,MIN(E25:K25),"")</f>
        <v>3.7</v>
      </c>
      <c r="N25" s="88">
        <f>IF(COUNT(E25:K25)&gt;0,(SUM(E25:K25)-( SUM(L25:M25)  ))/(IF(COUNT(E25:K25)&gt;4,COUNT(E25:K25)-2,COUNT(E25:K25))),"")</f>
        <v>4.0666666666666664</v>
      </c>
      <c r="O25" s="139">
        <f>IF(COUNT(E25:K25)&gt;0,N25*Obligatoria2GD,"")</f>
        <v>7.7266666666666657</v>
      </c>
      <c r="P25" s="145"/>
      <c r="Q25" s="142"/>
      <c r="R25" s="107"/>
    </row>
    <row r="26" spans="1:18" x14ac:dyDescent="0.3">
      <c r="A26" s="87"/>
      <c r="B26" s="86"/>
      <c r="C26" s="87"/>
      <c r="D26" s="89">
        <f>Opcional1Cod</f>
        <v>420</v>
      </c>
      <c r="E26" s="113">
        <v>4.2</v>
      </c>
      <c r="F26" s="26">
        <v>3.5</v>
      </c>
      <c r="G26" s="26">
        <v>3.4</v>
      </c>
      <c r="H26" s="26">
        <v>3.8</v>
      </c>
      <c r="I26" s="26">
        <v>4</v>
      </c>
      <c r="J26" s="26" t="str">
        <f>IF(JuecesPanel&gt;=6,"",IF((JuecesPanel+JuecesCalc)&lt;6,"",IF(COUNT(E26:I26)&gt;0,AVERAGE(E26:I26),"")))</f>
        <v/>
      </c>
      <c r="K26" s="26" t="str">
        <f>IF(JuecesPanel&gt;=7,"",IF((JuecesPanel+JuecesCalc)&lt;7,"",IF(COUNT(E26:J26)&gt;0,AVERAGE(E26:J26),"")))</f>
        <v/>
      </c>
      <c r="L26" s="25">
        <f>IF(COUNT(E26:K26)&gt;4,MAX(E26:K26),"")</f>
        <v>4.2</v>
      </c>
      <c r="M26" s="25">
        <f>IF(COUNT(E26:K26)&gt;4,MIN(E26:K26),"")</f>
        <v>3.4</v>
      </c>
      <c r="N26" s="88">
        <f>IF(COUNT(E26:K26)&gt;0,(SUM(E26:K26)-( SUM(L26:M26)  ))/(IF(COUNT(E26:K26)&gt;4,COUNT(E26:K26)-2,COUNT(E26:K26))),"")</f>
        <v>3.7666666666666662</v>
      </c>
      <c r="O26" s="139">
        <f>IF(COUNT(E26:K26)&gt;0,N26*Opcional1GD,"")</f>
        <v>7.1566666666666654</v>
      </c>
      <c r="P26" s="145"/>
      <c r="Q26" s="142"/>
      <c r="R26" s="107"/>
    </row>
    <row r="27" spans="1:18" x14ac:dyDescent="0.3">
      <c r="A27" s="108"/>
      <c r="B27" s="109"/>
      <c r="C27" s="108"/>
      <c r="D27" s="89">
        <f>Opcional2Cod</f>
        <v>327</v>
      </c>
      <c r="E27" s="102">
        <v>4.2</v>
      </c>
      <c r="F27" s="99">
        <v>4.4000000000000004</v>
      </c>
      <c r="G27" s="99">
        <v>4.2</v>
      </c>
      <c r="H27" s="99">
        <v>4</v>
      </c>
      <c r="I27" s="99">
        <v>3.5</v>
      </c>
      <c r="J27" s="99" t="str">
        <f>IF(JuecesPanel&gt;=6,"",IF((JuecesPanel+JuecesCalc)&lt;6,"",IF(COUNT(E27:I27)&gt;0,AVERAGE(E27:I27),"")))</f>
        <v/>
      </c>
      <c r="K27" s="99" t="str">
        <f>IF(JuecesPanel&gt;=7,"",IF((JuecesPanel+JuecesCalc)&lt;7,"",IF(COUNT(E27:J27)&gt;0,AVERAGE(E27:J27),"")))</f>
        <v/>
      </c>
      <c r="L27" s="99">
        <f>IF(COUNT(E27:K27)&gt;4,MAX(E27:K27),"")</f>
        <v>4.4000000000000004</v>
      </c>
      <c r="M27" s="99">
        <f>IF(COUNT(E27:K27)&gt;4,MIN(E27:K27),"")</f>
        <v>3.5</v>
      </c>
      <c r="N27" s="110">
        <f>IF(COUNT(E27:K27)&gt;0,(SUM(E27:K27)-( SUM(L27:M27)  ))/(IF(COUNT(E27:K27)&gt;4,COUNT(E27:K27)-2,COUNT(E27:K27))),"")</f>
        <v>4.1333333333333337</v>
      </c>
      <c r="O27" s="140">
        <f>IF(COUNT(E27:K27)&gt;0,N27*Opcional2GD,"")</f>
        <v>7.4400000000000013</v>
      </c>
      <c r="P27" s="146"/>
      <c r="Q27" s="143"/>
      <c r="R27" s="111"/>
    </row>
    <row r="28" spans="1:18" x14ac:dyDescent="0.3">
      <c r="A28" s="96">
        <v>6</v>
      </c>
      <c r="B28" s="104" t="s">
        <v>140</v>
      </c>
      <c r="C28" s="103" t="s">
        <v>123</v>
      </c>
      <c r="D28" s="89">
        <f>Obligatoria1Cod</f>
        <v>106</v>
      </c>
      <c r="E28" s="112">
        <v>5</v>
      </c>
      <c r="F28" s="98">
        <v>4.5999999999999996</v>
      </c>
      <c r="G28" s="98">
        <v>5.6</v>
      </c>
      <c r="H28" s="98">
        <v>5.7</v>
      </c>
      <c r="I28" s="98">
        <v>5.5</v>
      </c>
      <c r="J28" s="98" t="str">
        <f>IF(JuecesPanel&gt;=6,"",IF((JuecesPanel+JuecesCalc)&lt;6,"",IF(COUNT(E28:I28)&gt;0,AVERAGE(E28:I28),"")))</f>
        <v/>
      </c>
      <c r="K28" s="98" t="str">
        <f>IF(JuecesPanel&gt;=7,"",IF((JuecesPanel+JuecesCalc)&lt;7,"",IF(COUNT(E28:J28)&gt;0,AVERAGE(E28:J28),"")))</f>
        <v/>
      </c>
      <c r="L28" s="97">
        <f>IF(COUNT(E28:K28)&gt;4,MAX(E28:K28),"")</f>
        <v>5.7</v>
      </c>
      <c r="M28" s="97">
        <f>IF(COUNT(E28:K28)&gt;4,MIN(E28:K28),"")</f>
        <v>4.5999999999999996</v>
      </c>
      <c r="N28" s="105">
        <f>IF(COUNT(E28:K28)&gt;0,(SUM(E28:K28)-( SUM(L28:M28)  ))/(IF(COUNT(E28:K28)&gt;4,COUNT(E28:K28)-2,COUNT(E28:K28))),"")</f>
        <v>5.3666666666666663</v>
      </c>
      <c r="O28" s="138">
        <f>IF(COUNT(E28:K28)&gt;0,N28*Obligatoria1GD,"")</f>
        <v>8.586666666666666</v>
      </c>
      <c r="P28" s="144"/>
      <c r="Q28" s="141">
        <f>IF(COUNT(E28:K31)&gt;0,SUM(O28:O31),"")</f>
        <v>38.79</v>
      </c>
      <c r="R28" s="106">
        <f>IF(COUNT(E28:K31)&gt;0,((Q28/TotalGD)*10)-SUM(P28:P31),0)</f>
        <v>53.875</v>
      </c>
    </row>
    <row r="29" spans="1:18" x14ac:dyDescent="0.3">
      <c r="A29" s="87"/>
      <c r="B29" s="86"/>
      <c r="C29" s="87"/>
      <c r="D29" s="89">
        <f>Obligatoria2Cod</f>
        <v>301</v>
      </c>
      <c r="E29" s="101">
        <v>5.6</v>
      </c>
      <c r="F29" s="25">
        <v>5.6</v>
      </c>
      <c r="G29" s="25">
        <v>5.8</v>
      </c>
      <c r="H29" s="25">
        <v>5.3</v>
      </c>
      <c r="I29" s="25">
        <v>5.7</v>
      </c>
      <c r="J29" s="25" t="str">
        <f>IF(JuecesPanel&gt;=6,"",IF((JuecesPanel+JuecesCalc)&lt;6,"",IF(COUNT(E29:I29)&gt;0,AVERAGE(E29:I29),"")))</f>
        <v/>
      </c>
      <c r="K29" s="25" t="str">
        <f>IF(JuecesPanel&gt;=7,"",IF((JuecesPanel+JuecesCalc)&lt;7,"",IF(COUNT(E29:J29)&gt;0,AVERAGE(E29:J29),"")))</f>
        <v/>
      </c>
      <c r="L29" s="25">
        <f>IF(COUNT(E29:K29)&gt;4,MAX(E29:K29),"")</f>
        <v>5.8</v>
      </c>
      <c r="M29" s="25">
        <f>IF(COUNT(E29:K29)&gt;4,MIN(E29:K29),"")</f>
        <v>5.3</v>
      </c>
      <c r="N29" s="88">
        <f>IF(COUNT(E29:K29)&gt;0,(SUM(E29:K29)-( SUM(L29:M29)  ))/(IF(COUNT(E29:K29)&gt;4,COUNT(E29:K29)-2,COUNT(E29:K29))),"")</f>
        <v>5.6333333333333329</v>
      </c>
      <c r="O29" s="139">
        <f>IF(COUNT(E29:K29)&gt;0,N29*Obligatoria2GD,"")</f>
        <v>10.703333333333331</v>
      </c>
      <c r="P29" s="145"/>
      <c r="Q29" s="142"/>
      <c r="R29" s="107"/>
    </row>
    <row r="30" spans="1:18" x14ac:dyDescent="0.3">
      <c r="A30" s="87"/>
      <c r="B30" s="86"/>
      <c r="C30" s="87"/>
      <c r="D30" s="89">
        <f>Opcional1Cod</f>
        <v>420</v>
      </c>
      <c r="E30" s="113">
        <v>5.5</v>
      </c>
      <c r="F30" s="26">
        <v>5</v>
      </c>
      <c r="G30" s="26">
        <v>5.2</v>
      </c>
      <c r="H30" s="26">
        <v>5.5</v>
      </c>
      <c r="I30" s="26">
        <v>5.8</v>
      </c>
      <c r="J30" s="26" t="str">
        <f>IF(JuecesPanel&gt;=6,"",IF((JuecesPanel+JuecesCalc)&lt;6,"",IF(COUNT(E30:I30)&gt;0,AVERAGE(E30:I30),"")))</f>
        <v/>
      </c>
      <c r="K30" s="26" t="str">
        <f>IF(JuecesPanel&gt;=7,"",IF((JuecesPanel+JuecesCalc)&lt;7,"",IF(COUNT(E30:J30)&gt;0,AVERAGE(E30:J30),"")))</f>
        <v/>
      </c>
      <c r="L30" s="25">
        <f>IF(COUNT(E30:K30)&gt;4,MAX(E30:K30),"")</f>
        <v>5.8</v>
      </c>
      <c r="M30" s="25">
        <f>IF(COUNT(E30:K30)&gt;4,MIN(E30:K30),"")</f>
        <v>5</v>
      </c>
      <c r="N30" s="88">
        <f>IF(COUNT(E30:K30)&gt;0,(SUM(E30:K30)-( SUM(L30:M30)  ))/(IF(COUNT(E30:K30)&gt;4,COUNT(E30:K30)-2,COUNT(E30:K30))),"")</f>
        <v>5.3999999999999995</v>
      </c>
      <c r="O30" s="139">
        <f>IF(COUNT(E30:K30)&gt;0,N30*Opcional1GD,"")</f>
        <v>10.259999999999998</v>
      </c>
      <c r="P30" s="145"/>
      <c r="Q30" s="142"/>
      <c r="R30" s="107"/>
    </row>
    <row r="31" spans="1:18" x14ac:dyDescent="0.3">
      <c r="A31" s="108"/>
      <c r="B31" s="109"/>
      <c r="C31" s="108"/>
      <c r="D31" s="89">
        <f>Opcional2Cod</f>
        <v>327</v>
      </c>
      <c r="E31" s="102">
        <v>4.8</v>
      </c>
      <c r="F31" s="99">
        <v>4.7</v>
      </c>
      <c r="G31" s="99">
        <v>5.3</v>
      </c>
      <c r="H31" s="99">
        <v>5.3</v>
      </c>
      <c r="I31" s="99">
        <v>5.3</v>
      </c>
      <c r="J31" s="99" t="str">
        <f>IF(JuecesPanel&gt;=6,"",IF((JuecesPanel+JuecesCalc)&lt;6,"",IF(COUNT(E31:I31)&gt;0,AVERAGE(E31:I31),"")))</f>
        <v/>
      </c>
      <c r="K31" s="99" t="str">
        <f>IF(JuecesPanel&gt;=7,"",IF((JuecesPanel+JuecesCalc)&lt;7,"",IF(COUNT(E31:J31)&gt;0,AVERAGE(E31:J31),"")))</f>
        <v/>
      </c>
      <c r="L31" s="99">
        <f>IF(COUNT(E31:K31)&gt;4,MAX(E31:K31),"")</f>
        <v>5.3</v>
      </c>
      <c r="M31" s="99">
        <f>IF(COUNT(E31:K31)&gt;4,MIN(E31:K31),"")</f>
        <v>4.7</v>
      </c>
      <c r="N31" s="110">
        <f>IF(COUNT(E31:K31)&gt;0,(SUM(E31:K31)-( SUM(L31:M31)  ))/(IF(COUNT(E31:K31)&gt;4,COUNT(E31:K31)-2,COUNT(E31:K31))),"")</f>
        <v>5.1333333333333337</v>
      </c>
      <c r="O31" s="140">
        <f>IF(COUNT(E31:K31)&gt;0,N31*Opcional2GD,"")</f>
        <v>9.24</v>
      </c>
      <c r="P31" s="146"/>
      <c r="Q31" s="143"/>
      <c r="R31" s="111"/>
    </row>
    <row r="32" spans="1:18" x14ac:dyDescent="0.3">
      <c r="A32" s="96">
        <v>7</v>
      </c>
      <c r="B32" s="104" t="s">
        <v>141</v>
      </c>
      <c r="C32" s="103" t="s">
        <v>122</v>
      </c>
      <c r="D32" s="89">
        <f>Obligatoria1Cod</f>
        <v>106</v>
      </c>
      <c r="E32" s="112">
        <v>4.7</v>
      </c>
      <c r="F32" s="98">
        <v>4.8</v>
      </c>
      <c r="G32" s="98">
        <v>4.7</v>
      </c>
      <c r="H32" s="98">
        <v>4.9000000000000004</v>
      </c>
      <c r="I32" s="98">
        <v>4.7</v>
      </c>
      <c r="J32" s="98" t="str">
        <f>IF(JuecesPanel&gt;=6,"",IF((JuecesPanel+JuecesCalc)&lt;6,"",IF(COUNT(E32:I32)&gt;0,AVERAGE(E32:I32),"")))</f>
        <v/>
      </c>
      <c r="K32" s="98" t="str">
        <f>IF(JuecesPanel&gt;=7,"",IF((JuecesPanel+JuecesCalc)&lt;7,"",IF(COUNT(E32:J32)&gt;0,AVERAGE(E32:J32),"")))</f>
        <v/>
      </c>
      <c r="L32" s="97">
        <f>IF(COUNT(E32:K32)&gt;4,MAX(E32:K32),"")</f>
        <v>4.9000000000000004</v>
      </c>
      <c r="M32" s="97">
        <f>IF(COUNT(E32:K32)&gt;4,MIN(E32:K32),"")</f>
        <v>4.7</v>
      </c>
      <c r="N32" s="105">
        <f>IF(COUNT(E32:K32)&gt;0,(SUM(E32:K32)-( SUM(L32:M32)  ))/(IF(COUNT(E32:K32)&gt;4,COUNT(E32:K32)-2,COUNT(E32:K32))),"")</f>
        <v>4.7333333333333334</v>
      </c>
      <c r="O32" s="138">
        <f>IF(COUNT(E32:K32)&gt;0,N32*Obligatoria1GD,"")</f>
        <v>7.5733333333333341</v>
      </c>
      <c r="P32" s="144"/>
      <c r="Q32" s="141">
        <f>IF(COUNT(E32:K35)&gt;0,SUM(O32:O35),"")</f>
        <v>31.523333333333333</v>
      </c>
      <c r="R32" s="106">
        <f>IF(COUNT(E32:K35)&gt;0,((Q32/TotalGD)*10)-SUM(P32:P35),0)</f>
        <v>43.782407407407405</v>
      </c>
    </row>
    <row r="33" spans="1:18" x14ac:dyDescent="0.3">
      <c r="A33" s="87"/>
      <c r="B33" s="86"/>
      <c r="C33" s="87"/>
      <c r="D33" s="89">
        <f>Obligatoria2Cod</f>
        <v>301</v>
      </c>
      <c r="E33" s="101">
        <v>4.4000000000000004</v>
      </c>
      <c r="F33" s="25">
        <v>4</v>
      </c>
      <c r="G33" s="25">
        <v>4.3</v>
      </c>
      <c r="H33" s="25">
        <v>4.3</v>
      </c>
      <c r="I33" s="25">
        <v>4.9000000000000004</v>
      </c>
      <c r="J33" s="25" t="str">
        <f>IF(JuecesPanel&gt;=6,"",IF((JuecesPanel+JuecesCalc)&lt;6,"",IF(COUNT(E33:I33)&gt;0,AVERAGE(E33:I33),"")))</f>
        <v/>
      </c>
      <c r="K33" s="25" t="str">
        <f>IF(JuecesPanel&gt;=7,"",IF((JuecesPanel+JuecesCalc)&lt;7,"",IF(COUNT(E33:J33)&gt;0,AVERAGE(E33:J33),"")))</f>
        <v/>
      </c>
      <c r="L33" s="25">
        <f>IF(COUNT(E33:K33)&gt;4,MAX(E33:K33),"")</f>
        <v>4.9000000000000004</v>
      </c>
      <c r="M33" s="25">
        <f>IF(COUNT(E33:K33)&gt;4,MIN(E33:K33),"")</f>
        <v>4</v>
      </c>
      <c r="N33" s="88">
        <f>IF(COUNT(E33:K33)&gt;0,(SUM(E33:K33)-( SUM(L33:M33)  ))/(IF(COUNT(E33:K33)&gt;4,COUNT(E33:K33)-2,COUNT(E33:K33))),"")</f>
        <v>4.333333333333333</v>
      </c>
      <c r="O33" s="139">
        <f>IF(COUNT(E33:K33)&gt;0,N33*Obligatoria2GD,"")</f>
        <v>8.2333333333333325</v>
      </c>
      <c r="P33" s="145"/>
      <c r="Q33" s="142"/>
      <c r="R33" s="107"/>
    </row>
    <row r="34" spans="1:18" x14ac:dyDescent="0.3">
      <c r="A34" s="87"/>
      <c r="B34" s="86"/>
      <c r="C34" s="87"/>
      <c r="D34" s="89">
        <f>Opcional1Cod</f>
        <v>420</v>
      </c>
      <c r="E34" s="113">
        <v>4.0999999999999996</v>
      </c>
      <c r="F34" s="26">
        <v>3.9</v>
      </c>
      <c r="G34" s="26">
        <v>3.5</v>
      </c>
      <c r="H34" s="26">
        <v>4.5</v>
      </c>
      <c r="I34" s="26">
        <v>4.5</v>
      </c>
      <c r="J34" s="26" t="str">
        <f>IF(JuecesPanel&gt;=6,"",IF((JuecesPanel+JuecesCalc)&lt;6,"",IF(COUNT(E34:I34)&gt;0,AVERAGE(E34:I34),"")))</f>
        <v/>
      </c>
      <c r="K34" s="26" t="str">
        <f>IF(JuecesPanel&gt;=7,"",IF((JuecesPanel+JuecesCalc)&lt;7,"",IF(COUNT(E34:J34)&gt;0,AVERAGE(E34:J34),"")))</f>
        <v/>
      </c>
      <c r="L34" s="25">
        <f>IF(COUNT(E34:K34)&gt;4,MAX(E34:K34),"")</f>
        <v>4.5</v>
      </c>
      <c r="M34" s="25">
        <f>IF(COUNT(E34:K34)&gt;4,MIN(E34:K34),"")</f>
        <v>3.5</v>
      </c>
      <c r="N34" s="88">
        <f>IF(COUNT(E34:K34)&gt;0,(SUM(E34:K34)-( SUM(L34:M34)  ))/(IF(COUNT(E34:K34)&gt;4,COUNT(E34:K34)-2,COUNT(E34:K34))),"")</f>
        <v>4.166666666666667</v>
      </c>
      <c r="O34" s="139">
        <f>IF(COUNT(E34:K34)&gt;0,N34*Opcional1GD,"")</f>
        <v>7.916666666666667</v>
      </c>
      <c r="P34" s="145"/>
      <c r="Q34" s="142"/>
      <c r="R34" s="107"/>
    </row>
    <row r="35" spans="1:18" x14ac:dyDescent="0.3">
      <c r="A35" s="108"/>
      <c r="B35" s="109"/>
      <c r="C35" s="108"/>
      <c r="D35" s="89">
        <f>Opcional2Cod</f>
        <v>327</v>
      </c>
      <c r="E35" s="102">
        <v>4.4000000000000004</v>
      </c>
      <c r="F35" s="99">
        <v>4.0999999999999996</v>
      </c>
      <c r="G35" s="99">
        <v>4.3</v>
      </c>
      <c r="H35" s="99">
        <v>4.3</v>
      </c>
      <c r="I35" s="99">
        <v>4.5</v>
      </c>
      <c r="J35" s="99" t="str">
        <f>IF(JuecesPanel&gt;=6,"",IF((JuecesPanel+JuecesCalc)&lt;6,"",IF(COUNT(E35:I35)&gt;0,AVERAGE(E35:I35),"")))</f>
        <v/>
      </c>
      <c r="K35" s="99" t="str">
        <f>IF(JuecesPanel&gt;=7,"",IF((JuecesPanel+JuecesCalc)&lt;7,"",IF(COUNT(E35:J35)&gt;0,AVERAGE(E35:J35),"")))</f>
        <v/>
      </c>
      <c r="L35" s="99">
        <f>IF(COUNT(E35:K35)&gt;4,MAX(E35:K35),"")</f>
        <v>4.5</v>
      </c>
      <c r="M35" s="99">
        <f>IF(COUNT(E35:K35)&gt;4,MIN(E35:K35),"")</f>
        <v>4.0999999999999996</v>
      </c>
      <c r="N35" s="110">
        <f>IF(COUNT(E35:K35)&gt;0,(SUM(E35:K35)-( SUM(L35:M35)  ))/(IF(COUNT(E35:K35)&gt;4,COUNT(E35:K35)-2,COUNT(E35:K35))),"")</f>
        <v>4.3333333333333339</v>
      </c>
      <c r="O35" s="140">
        <f>IF(COUNT(E35:K35)&gt;0,N35*Opcional2GD,"")</f>
        <v>7.8000000000000016</v>
      </c>
      <c r="P35" s="146"/>
      <c r="Q35" s="143"/>
      <c r="R35" s="111"/>
    </row>
    <row r="36" spans="1:18" x14ac:dyDescent="0.3">
      <c r="A36" s="96">
        <v>8</v>
      </c>
      <c r="B36" s="104" t="s">
        <v>142</v>
      </c>
      <c r="C36" s="103" t="s">
        <v>123</v>
      </c>
      <c r="D36" s="89">
        <f>Obligatoria1Cod</f>
        <v>106</v>
      </c>
      <c r="E36" s="112">
        <v>5.6</v>
      </c>
      <c r="F36" s="98">
        <v>4.5</v>
      </c>
      <c r="G36" s="98">
        <v>5.4</v>
      </c>
      <c r="H36" s="98">
        <v>5.8</v>
      </c>
      <c r="I36" s="98">
        <v>5.4</v>
      </c>
      <c r="J36" s="98" t="str">
        <f>IF(JuecesPanel&gt;=6,"",IF((JuecesPanel+JuecesCalc)&lt;6,"",IF(COUNT(E36:I36)&gt;0,AVERAGE(E36:I36),"")))</f>
        <v/>
      </c>
      <c r="K36" s="98" t="str">
        <f>IF(JuecesPanel&gt;=7,"",IF((JuecesPanel+JuecesCalc)&lt;7,"",IF(COUNT(E36:J36)&gt;0,AVERAGE(E36:J36),"")))</f>
        <v/>
      </c>
      <c r="L36" s="97">
        <f>IF(COUNT(E36:K36)&gt;4,MAX(E36:K36),"")</f>
        <v>5.8</v>
      </c>
      <c r="M36" s="97">
        <f>IF(COUNT(E36:K36)&gt;4,MIN(E36:K36),"")</f>
        <v>4.5</v>
      </c>
      <c r="N36" s="105">
        <f>IF(COUNT(E36:K36)&gt;0,(SUM(E36:K36)-( SUM(L36:M36)  ))/(IF(COUNT(E36:K36)&gt;4,COUNT(E36:K36)-2,COUNT(E36:K36))),"")</f>
        <v>5.4666666666666677</v>
      </c>
      <c r="O36" s="138">
        <f>IF(COUNT(E36:K36)&gt;0,N36*Obligatoria1GD,"")</f>
        <v>8.7466666666666679</v>
      </c>
      <c r="P36" s="144"/>
      <c r="Q36" s="141">
        <f>IF(COUNT(E36:K39)&gt;0,SUM(O36:O39),"")</f>
        <v>38.360000000000007</v>
      </c>
      <c r="R36" s="106">
        <f>IF(COUNT(E36:K39)&gt;0,((Q36/TotalGD)*10)-SUM(P36:P39),0)</f>
        <v>53.277777777777786</v>
      </c>
    </row>
    <row r="37" spans="1:18" x14ac:dyDescent="0.3">
      <c r="A37" s="87"/>
      <c r="B37" s="86"/>
      <c r="C37" s="87"/>
      <c r="D37" s="89">
        <f>Obligatoria2Cod</f>
        <v>301</v>
      </c>
      <c r="E37" s="101">
        <v>5.2</v>
      </c>
      <c r="F37" s="25">
        <v>4.4000000000000004</v>
      </c>
      <c r="G37" s="25">
        <v>5.6</v>
      </c>
      <c r="H37" s="25">
        <v>6</v>
      </c>
      <c r="I37" s="25">
        <v>5.9</v>
      </c>
      <c r="J37" s="25" t="str">
        <f>IF(JuecesPanel&gt;=6,"",IF((JuecesPanel+JuecesCalc)&lt;6,"",IF(COUNT(E37:I37)&gt;0,AVERAGE(E37:I37),"")))</f>
        <v/>
      </c>
      <c r="K37" s="25" t="str">
        <f>IF(JuecesPanel&gt;=7,"",IF((JuecesPanel+JuecesCalc)&lt;7,"",IF(COUNT(E37:J37)&gt;0,AVERAGE(E37:J37),"")))</f>
        <v/>
      </c>
      <c r="L37" s="25">
        <f>IF(COUNT(E37:K37)&gt;4,MAX(E37:K37),"")</f>
        <v>6</v>
      </c>
      <c r="M37" s="25">
        <f>IF(COUNT(E37:K37)&gt;4,MIN(E37:K37),"")</f>
        <v>4.4000000000000004</v>
      </c>
      <c r="N37" s="88">
        <f>IF(COUNT(E37:K37)&gt;0,(SUM(E37:K37)-( SUM(L37:M37)  ))/(IF(COUNT(E37:K37)&gt;4,COUNT(E37:K37)-2,COUNT(E37:K37))),"")</f>
        <v>5.5666666666666673</v>
      </c>
      <c r="O37" s="139">
        <f>IF(COUNT(E37:K37)&gt;0,N37*Obligatoria2GD,"")</f>
        <v>10.576666666666668</v>
      </c>
      <c r="P37" s="145"/>
      <c r="Q37" s="142"/>
      <c r="R37" s="107"/>
    </row>
    <row r="38" spans="1:18" x14ac:dyDescent="0.3">
      <c r="A38" s="87"/>
      <c r="B38" s="86"/>
      <c r="C38" s="87"/>
      <c r="D38" s="89">
        <f>Opcional1Cod</f>
        <v>420</v>
      </c>
      <c r="E38" s="113">
        <v>4.3</v>
      </c>
      <c r="F38" s="26">
        <v>5.0999999999999996</v>
      </c>
      <c r="G38" s="26">
        <v>4.8</v>
      </c>
      <c r="H38" s="26">
        <v>5</v>
      </c>
      <c r="I38" s="26">
        <v>5.2</v>
      </c>
      <c r="J38" s="26" t="str">
        <f>IF(JuecesPanel&gt;=6,"",IF((JuecesPanel+JuecesCalc)&lt;6,"",IF(COUNT(E38:I38)&gt;0,AVERAGE(E38:I38),"")))</f>
        <v/>
      </c>
      <c r="K38" s="26" t="str">
        <f>IF(JuecesPanel&gt;=7,"",IF((JuecesPanel+JuecesCalc)&lt;7,"",IF(COUNT(E38:J38)&gt;0,AVERAGE(E38:J38),"")))</f>
        <v/>
      </c>
      <c r="L38" s="25">
        <f>IF(COUNT(E38:K38)&gt;4,MAX(E38:K38),"")</f>
        <v>5.2</v>
      </c>
      <c r="M38" s="25">
        <f>IF(COUNT(E38:K38)&gt;4,MIN(E38:K38),"")</f>
        <v>4.3</v>
      </c>
      <c r="N38" s="88">
        <f>IF(COUNT(E38:K38)&gt;0,(SUM(E38:K38)-( SUM(L38:M38)  ))/(IF(COUNT(E38:K38)&gt;4,COUNT(E38:K38)-2,COUNT(E38:K38))),"")</f>
        <v>4.9666666666666659</v>
      </c>
      <c r="O38" s="139">
        <f>IF(COUNT(E38:K38)&gt;0,N38*Opcional1GD,"")</f>
        <v>9.4366666666666656</v>
      </c>
      <c r="P38" s="145"/>
      <c r="Q38" s="142"/>
      <c r="R38" s="107"/>
    </row>
    <row r="39" spans="1:18" x14ac:dyDescent="0.3">
      <c r="A39" s="108"/>
      <c r="B39" s="109"/>
      <c r="C39" s="108"/>
      <c r="D39" s="89">
        <f>Opcional2Cod</f>
        <v>327</v>
      </c>
      <c r="E39" s="102">
        <v>4.9000000000000004</v>
      </c>
      <c r="F39" s="99">
        <v>4.4000000000000004</v>
      </c>
      <c r="G39" s="99">
        <v>5.4</v>
      </c>
      <c r="H39" s="99">
        <v>5.7</v>
      </c>
      <c r="I39" s="99">
        <v>5.8</v>
      </c>
      <c r="J39" s="99" t="str">
        <f>IF(JuecesPanel&gt;=6,"",IF((JuecesPanel+JuecesCalc)&lt;6,"",IF(COUNT(E39:I39)&gt;0,AVERAGE(E39:I39),"")))</f>
        <v/>
      </c>
      <c r="K39" s="99" t="str">
        <f>IF(JuecesPanel&gt;=7,"",IF((JuecesPanel+JuecesCalc)&lt;7,"",IF(COUNT(E39:J39)&gt;0,AVERAGE(E39:J39),"")))</f>
        <v/>
      </c>
      <c r="L39" s="99">
        <f>IF(COUNT(E39:K39)&gt;4,MAX(E39:K39),"")</f>
        <v>5.8</v>
      </c>
      <c r="M39" s="99">
        <f>IF(COUNT(E39:K39)&gt;4,MIN(E39:K39),"")</f>
        <v>4.4000000000000004</v>
      </c>
      <c r="N39" s="110">
        <f>IF(COUNT(E39:K39)&gt;0,(SUM(E39:K39)-( SUM(L39:M39)  ))/(IF(COUNT(E39:K39)&gt;4,COUNT(E39:K39)-2,COUNT(E39:K39))),"")</f>
        <v>5.3333333333333348</v>
      </c>
      <c r="O39" s="140">
        <f>IF(COUNT(E39:K39)&gt;0,N39*Opcional2GD,"")</f>
        <v>9.6000000000000032</v>
      </c>
      <c r="P39" s="146"/>
      <c r="Q39" s="143"/>
      <c r="R39" s="111"/>
    </row>
    <row r="40" spans="1:18" x14ac:dyDescent="0.3">
      <c r="A40" s="96">
        <v>9</v>
      </c>
      <c r="B40" s="104" t="s">
        <v>143</v>
      </c>
      <c r="C40" s="103" t="s">
        <v>123</v>
      </c>
      <c r="D40" s="89">
        <f>Obligatoria1Cod</f>
        <v>106</v>
      </c>
      <c r="E40" s="112">
        <v>5.3</v>
      </c>
      <c r="F40" s="98">
        <v>5</v>
      </c>
      <c r="G40" s="98">
        <v>5.0999999999999996</v>
      </c>
      <c r="H40" s="98">
        <v>5.4</v>
      </c>
      <c r="I40" s="98">
        <v>5.0999999999999996</v>
      </c>
      <c r="J40" s="98" t="str">
        <f>IF(JuecesPanel&gt;=6,"",IF((JuecesPanel+JuecesCalc)&lt;6,"",IF(COUNT(E40:I40)&gt;0,AVERAGE(E40:I40),"")))</f>
        <v/>
      </c>
      <c r="K40" s="98" t="str">
        <f>IF(JuecesPanel&gt;=7,"",IF((JuecesPanel+JuecesCalc)&lt;7,"",IF(COUNT(E40:J40)&gt;0,AVERAGE(E40:J40),"")))</f>
        <v/>
      </c>
      <c r="L40" s="97">
        <f>IF(COUNT(E40:K40)&gt;4,MAX(E40:K40),"")</f>
        <v>5.4</v>
      </c>
      <c r="M40" s="97">
        <f>IF(COUNT(E40:K40)&gt;4,MIN(E40:K40),"")</f>
        <v>5</v>
      </c>
      <c r="N40" s="105">
        <f>IF(COUNT(E40:K40)&gt;0,(SUM(E40:K40)-( SUM(L40:M40)  ))/(IF(COUNT(E40:K40)&gt;4,COUNT(E40:K40)-2,COUNT(E40:K40))),"")</f>
        <v>5.1666666666666661</v>
      </c>
      <c r="O40" s="138">
        <f>IF(COUNT(E40:K40)&gt;0,N40*Obligatoria1GD,"")</f>
        <v>8.2666666666666657</v>
      </c>
      <c r="P40" s="144"/>
      <c r="Q40" s="141">
        <f>IF(COUNT(E40:K43)&gt;0,SUM(O40:O43),"")</f>
        <v>37.569999999999993</v>
      </c>
      <c r="R40" s="106">
        <f>IF(COUNT(E40:K43)&gt;0,((Q40/TotalGD)*10)-SUM(P40:P43),0)</f>
        <v>52.180555555555543</v>
      </c>
    </row>
    <row r="41" spans="1:18" x14ac:dyDescent="0.3">
      <c r="A41" s="87"/>
      <c r="B41" s="86"/>
      <c r="C41" s="87"/>
      <c r="D41" s="89">
        <f>Obligatoria2Cod</f>
        <v>301</v>
      </c>
      <c r="E41" s="101">
        <v>5.0999999999999996</v>
      </c>
      <c r="F41" s="25">
        <v>5.3</v>
      </c>
      <c r="G41" s="25">
        <v>5.4</v>
      </c>
      <c r="H41" s="25">
        <v>5.6</v>
      </c>
      <c r="I41" s="25">
        <v>5.6</v>
      </c>
      <c r="J41" s="25" t="str">
        <f>IF(JuecesPanel&gt;=6,"",IF((JuecesPanel+JuecesCalc)&lt;6,"",IF(COUNT(E41:I41)&gt;0,AVERAGE(E41:I41),"")))</f>
        <v/>
      </c>
      <c r="K41" s="25" t="str">
        <f>IF(JuecesPanel&gt;=7,"",IF((JuecesPanel+JuecesCalc)&lt;7,"",IF(COUNT(E41:J41)&gt;0,AVERAGE(E41:J41),"")))</f>
        <v/>
      </c>
      <c r="L41" s="25">
        <f>IF(COUNT(E41:K41)&gt;4,MAX(E41:K41),"")</f>
        <v>5.6</v>
      </c>
      <c r="M41" s="25">
        <f>IF(COUNT(E41:K41)&gt;4,MIN(E41:K41),"")</f>
        <v>5.0999999999999996</v>
      </c>
      <c r="N41" s="88">
        <f>IF(COUNT(E41:K41)&gt;0,(SUM(E41:K41)-( SUM(L41:M41)  ))/(IF(COUNT(E41:K41)&gt;4,COUNT(E41:K41)-2,COUNT(E41:K41))),"")</f>
        <v>5.4333333333333336</v>
      </c>
      <c r="O41" s="139">
        <f>IF(COUNT(E41:K41)&gt;0,N41*Obligatoria2GD,"")</f>
        <v>10.323333333333334</v>
      </c>
      <c r="P41" s="145"/>
      <c r="Q41" s="142"/>
      <c r="R41" s="107"/>
    </row>
    <row r="42" spans="1:18" x14ac:dyDescent="0.3">
      <c r="A42" s="87"/>
      <c r="B42" s="86"/>
      <c r="C42" s="87"/>
      <c r="D42" s="89">
        <f>Opcional1Cod</f>
        <v>420</v>
      </c>
      <c r="E42" s="113">
        <v>5.0999999999999996</v>
      </c>
      <c r="F42" s="26">
        <v>4.5999999999999996</v>
      </c>
      <c r="G42" s="26">
        <v>5</v>
      </c>
      <c r="H42" s="26">
        <v>5.7</v>
      </c>
      <c r="I42" s="26">
        <v>4.9000000000000004</v>
      </c>
      <c r="J42" s="26" t="str">
        <f>IF(JuecesPanel&gt;=6,"",IF((JuecesPanel+JuecesCalc)&lt;6,"",IF(COUNT(E42:I42)&gt;0,AVERAGE(E42:I42),"")))</f>
        <v/>
      </c>
      <c r="K42" s="26" t="str">
        <f>IF(JuecesPanel&gt;=7,"",IF((JuecesPanel+JuecesCalc)&lt;7,"",IF(COUNT(E42:J42)&gt;0,AVERAGE(E42:J42),"")))</f>
        <v/>
      </c>
      <c r="L42" s="25">
        <f>IF(COUNT(E42:K42)&gt;4,MAX(E42:K42),"")</f>
        <v>5.7</v>
      </c>
      <c r="M42" s="25">
        <f>IF(COUNT(E42:K42)&gt;4,MIN(E42:K42),"")</f>
        <v>4.5999999999999996</v>
      </c>
      <c r="N42" s="88">
        <f>IF(COUNT(E42:K42)&gt;0,(SUM(E42:K42)-( SUM(L42:M42)  ))/(IF(COUNT(E42:K42)&gt;4,COUNT(E42:K42)-2,COUNT(E42:K42))),"")</f>
        <v>4.9999999999999991</v>
      </c>
      <c r="O42" s="139">
        <f>IF(COUNT(E42:K42)&gt;0,N42*Opcional1GD,"")</f>
        <v>9.4999999999999982</v>
      </c>
      <c r="P42" s="145"/>
      <c r="Q42" s="142"/>
      <c r="R42" s="107"/>
    </row>
    <row r="43" spans="1:18" x14ac:dyDescent="0.3">
      <c r="A43" s="108"/>
      <c r="B43" s="109"/>
      <c r="C43" s="108"/>
      <c r="D43" s="89">
        <f>Opcional2Cod</f>
        <v>327</v>
      </c>
      <c r="E43" s="102">
        <v>5.6</v>
      </c>
      <c r="F43" s="99">
        <v>4.5999999999999996</v>
      </c>
      <c r="G43" s="99">
        <v>5.2</v>
      </c>
      <c r="H43" s="99">
        <v>6</v>
      </c>
      <c r="I43" s="99">
        <v>5</v>
      </c>
      <c r="J43" s="99" t="str">
        <f>IF(JuecesPanel&gt;=6,"",IF((JuecesPanel+JuecesCalc)&lt;6,"",IF(COUNT(E43:I43)&gt;0,AVERAGE(E43:I43),"")))</f>
        <v/>
      </c>
      <c r="K43" s="99" t="str">
        <f>IF(JuecesPanel&gt;=7,"",IF((JuecesPanel+JuecesCalc)&lt;7,"",IF(COUNT(E43:J43)&gt;0,AVERAGE(E43:J43),"")))</f>
        <v/>
      </c>
      <c r="L43" s="99">
        <f>IF(COUNT(E43:K43)&gt;4,MAX(E43:K43),"")</f>
        <v>6</v>
      </c>
      <c r="M43" s="99">
        <f>IF(COUNT(E43:K43)&gt;4,MIN(E43:K43),"")</f>
        <v>4.5999999999999996</v>
      </c>
      <c r="N43" s="110">
        <f>IF(COUNT(E43:K43)&gt;0,(SUM(E43:K43)-( SUM(L43:M43)  ))/(IF(COUNT(E43:K43)&gt;4,COUNT(E43:K43)-2,COUNT(E43:K43))),"")</f>
        <v>5.2666666666666666</v>
      </c>
      <c r="O43" s="140">
        <f>IF(COUNT(E43:K43)&gt;0,N43*Opcional2GD,"")</f>
        <v>9.48</v>
      </c>
      <c r="P43" s="146"/>
      <c r="Q43" s="143"/>
      <c r="R43" s="111"/>
    </row>
    <row r="44" spans="1:18" x14ac:dyDescent="0.3">
      <c r="A44" s="96">
        <v>10</v>
      </c>
      <c r="B44" s="104" t="s">
        <v>144</v>
      </c>
      <c r="C44" s="103" t="s">
        <v>121</v>
      </c>
      <c r="D44" s="89">
        <f>Obligatoria1Cod</f>
        <v>106</v>
      </c>
      <c r="E44" s="112">
        <v>4.7</v>
      </c>
      <c r="F44" s="98">
        <v>5.3</v>
      </c>
      <c r="G44" s="98">
        <v>4.5999999999999996</v>
      </c>
      <c r="H44" s="98">
        <v>5.0999999999999996</v>
      </c>
      <c r="I44" s="98">
        <v>4.7</v>
      </c>
      <c r="J44" s="98" t="str">
        <f>IF(JuecesPanel&gt;=6,"",IF((JuecesPanel+JuecesCalc)&lt;6,"",IF(COUNT(E44:I44)&gt;0,AVERAGE(E44:I44),"")))</f>
        <v/>
      </c>
      <c r="K44" s="98" t="str">
        <f>IF(JuecesPanel&gt;=7,"",IF((JuecesPanel+JuecesCalc)&lt;7,"",IF(COUNT(E44:J44)&gt;0,AVERAGE(E44:J44),"")))</f>
        <v/>
      </c>
      <c r="L44" s="97">
        <f>IF(COUNT(E44:K44)&gt;4,MAX(E44:K44),"")</f>
        <v>5.3</v>
      </c>
      <c r="M44" s="97">
        <f>IF(COUNT(E44:K44)&gt;4,MIN(E44:K44),"")</f>
        <v>4.5999999999999996</v>
      </c>
      <c r="N44" s="105">
        <f>IF(COUNT(E44:K44)&gt;0,(SUM(E44:K44)-( SUM(L44:M44)  ))/(IF(COUNT(E44:K44)&gt;4,COUNT(E44:K44)-2,COUNT(E44:K44))),"")</f>
        <v>4.833333333333333</v>
      </c>
      <c r="O44" s="138">
        <f>IF(COUNT(E44:K44)&gt;0,N44*Obligatoria1GD,"")</f>
        <v>7.7333333333333334</v>
      </c>
      <c r="P44" s="144"/>
      <c r="Q44" s="141">
        <f>IF(COUNT(E44:K47)&gt;0,SUM(O44:O47),"")</f>
        <v>32.993333333333332</v>
      </c>
      <c r="R44" s="106">
        <f>IF(COUNT(E44:K47)&gt;0,((Q44/TotalGD)*10)-SUM(P44:P47),0)</f>
        <v>45.824074074074076</v>
      </c>
    </row>
    <row r="45" spans="1:18" x14ac:dyDescent="0.3">
      <c r="A45" s="87"/>
      <c r="B45" s="86"/>
      <c r="C45" s="87"/>
      <c r="D45" s="89">
        <f>Obligatoria2Cod</f>
        <v>301</v>
      </c>
      <c r="E45" s="101">
        <v>4.9000000000000004</v>
      </c>
      <c r="F45" s="25">
        <v>4</v>
      </c>
      <c r="G45" s="25">
        <v>4.5999999999999996</v>
      </c>
      <c r="H45" s="25">
        <v>4.5</v>
      </c>
      <c r="I45" s="25">
        <v>4.8</v>
      </c>
      <c r="J45" s="25" t="str">
        <f>IF(JuecesPanel&gt;=6,"",IF((JuecesPanel+JuecesCalc)&lt;6,"",IF(COUNT(E45:I45)&gt;0,AVERAGE(E45:I45),"")))</f>
        <v/>
      </c>
      <c r="K45" s="25" t="str">
        <f>IF(JuecesPanel&gt;=7,"",IF((JuecesPanel+JuecesCalc)&lt;7,"",IF(COUNT(E45:J45)&gt;0,AVERAGE(E45:J45),"")))</f>
        <v/>
      </c>
      <c r="L45" s="25">
        <f>IF(COUNT(E45:K45)&gt;4,MAX(E45:K45),"")</f>
        <v>4.9000000000000004</v>
      </c>
      <c r="M45" s="25">
        <f>IF(COUNT(E45:K45)&gt;4,MIN(E45:K45),"")</f>
        <v>4</v>
      </c>
      <c r="N45" s="88">
        <f>IF(COUNT(E45:K45)&gt;0,(SUM(E45:K45)-( SUM(L45:M45)  ))/(IF(COUNT(E45:K45)&gt;4,COUNT(E45:K45)-2,COUNT(E45:K45))),"")</f>
        <v>4.6333333333333337</v>
      </c>
      <c r="O45" s="139">
        <f>IF(COUNT(E45:K45)&gt;0,N45*Obligatoria2GD,"")</f>
        <v>8.8033333333333346</v>
      </c>
      <c r="P45" s="145"/>
      <c r="Q45" s="142"/>
      <c r="R45" s="107"/>
    </row>
    <row r="46" spans="1:18" x14ac:dyDescent="0.3">
      <c r="A46" s="87"/>
      <c r="B46" s="86"/>
      <c r="C46" s="87"/>
      <c r="D46" s="89">
        <f>Opcional1Cod</f>
        <v>420</v>
      </c>
      <c r="E46" s="113">
        <v>4.8</v>
      </c>
      <c r="F46" s="26">
        <v>3.7</v>
      </c>
      <c r="G46" s="26">
        <v>4.3</v>
      </c>
      <c r="H46" s="26">
        <v>4.2</v>
      </c>
      <c r="I46" s="26">
        <v>4.5999999999999996</v>
      </c>
      <c r="J46" s="26" t="str">
        <f>IF(JuecesPanel&gt;=6,"",IF((JuecesPanel+JuecesCalc)&lt;6,"",IF(COUNT(E46:I46)&gt;0,AVERAGE(E46:I46),"")))</f>
        <v/>
      </c>
      <c r="K46" s="26" t="str">
        <f>IF(JuecesPanel&gt;=7,"",IF((JuecesPanel+JuecesCalc)&lt;7,"",IF(COUNT(E46:J46)&gt;0,AVERAGE(E46:J46),"")))</f>
        <v/>
      </c>
      <c r="L46" s="25">
        <f>IF(COUNT(E46:K46)&gt;4,MAX(E46:K46),"")</f>
        <v>4.8</v>
      </c>
      <c r="M46" s="25">
        <f>IF(COUNT(E46:K46)&gt;4,MIN(E46:K46),"")</f>
        <v>3.7</v>
      </c>
      <c r="N46" s="88">
        <f>IF(COUNT(E46:K46)&gt;0,(SUM(E46:K46)-( SUM(L46:M46)  ))/(IF(COUNT(E46:K46)&gt;4,COUNT(E46:K46)-2,COUNT(E46:K46))),"")</f>
        <v>4.3666666666666671</v>
      </c>
      <c r="O46" s="139">
        <f>IF(COUNT(E46:K46)&gt;0,N46*Opcional1GD,"")</f>
        <v>8.2966666666666669</v>
      </c>
      <c r="P46" s="145"/>
      <c r="Q46" s="142"/>
      <c r="R46" s="107"/>
    </row>
    <row r="47" spans="1:18" x14ac:dyDescent="0.3">
      <c r="A47" s="108"/>
      <c r="B47" s="109"/>
      <c r="C47" s="108"/>
      <c r="D47" s="89">
        <f>Opcional2Cod</f>
        <v>327</v>
      </c>
      <c r="E47" s="102">
        <v>4.2</v>
      </c>
      <c r="F47" s="99">
        <v>3.8</v>
      </c>
      <c r="G47" s="99">
        <v>4.8</v>
      </c>
      <c r="H47" s="99">
        <v>5</v>
      </c>
      <c r="I47" s="99">
        <v>4.5999999999999996</v>
      </c>
      <c r="J47" s="99" t="str">
        <f>IF(JuecesPanel&gt;=6,"",IF((JuecesPanel+JuecesCalc)&lt;6,"",IF(COUNT(E47:I47)&gt;0,AVERAGE(E47:I47),"")))</f>
        <v/>
      </c>
      <c r="K47" s="99" t="str">
        <f>IF(JuecesPanel&gt;=7,"",IF((JuecesPanel+JuecesCalc)&lt;7,"",IF(COUNT(E47:J47)&gt;0,AVERAGE(E47:J47),"")))</f>
        <v/>
      </c>
      <c r="L47" s="99">
        <f>IF(COUNT(E47:K47)&gt;4,MAX(E47:K47),"")</f>
        <v>5</v>
      </c>
      <c r="M47" s="99">
        <f>IF(COUNT(E47:K47)&gt;4,MIN(E47:K47),"")</f>
        <v>3.8</v>
      </c>
      <c r="N47" s="110">
        <f>IF(COUNT(E47:K47)&gt;0,(SUM(E47:K47)-( SUM(L47:M47)  ))/(IF(COUNT(E47:K47)&gt;4,COUNT(E47:K47)-2,COUNT(E47:K47))),"")</f>
        <v>4.5333333333333323</v>
      </c>
      <c r="O47" s="140">
        <f>IF(COUNT(E47:K47)&gt;0,N47*Opcional2GD,"")</f>
        <v>8.1599999999999984</v>
      </c>
      <c r="P47" s="146"/>
      <c r="Q47" s="143"/>
      <c r="R47" s="111"/>
    </row>
    <row r="48" spans="1:18" x14ac:dyDescent="0.3">
      <c r="A48" s="96">
        <v>11</v>
      </c>
      <c r="B48" s="104" t="s">
        <v>145</v>
      </c>
      <c r="C48" s="103" t="s">
        <v>123</v>
      </c>
      <c r="D48" s="89">
        <f>Obligatoria1Cod</f>
        <v>106</v>
      </c>
      <c r="E48" s="112">
        <v>4.8</v>
      </c>
      <c r="F48" s="98">
        <v>4.5999999999999996</v>
      </c>
      <c r="G48" s="98">
        <v>4.8</v>
      </c>
      <c r="H48" s="98">
        <v>5.3</v>
      </c>
      <c r="I48" s="98">
        <v>4.3</v>
      </c>
      <c r="J48" s="98" t="str">
        <f>IF(JuecesPanel&gt;=6,"",IF((JuecesPanel+JuecesCalc)&lt;6,"",IF(COUNT(E48:I48)&gt;0,AVERAGE(E48:I48),"")))</f>
        <v/>
      </c>
      <c r="K48" s="98" t="str">
        <f>IF(JuecesPanel&gt;=7,"",IF((JuecesPanel+JuecesCalc)&lt;7,"",IF(COUNT(E48:J48)&gt;0,AVERAGE(E48:J48),"")))</f>
        <v/>
      </c>
      <c r="L48" s="97">
        <f>IF(COUNT(E48:K48)&gt;4,MAX(E48:K48),"")</f>
        <v>5.3</v>
      </c>
      <c r="M48" s="97">
        <f>IF(COUNT(E48:K48)&gt;4,MIN(E48:K48),"")</f>
        <v>4.3</v>
      </c>
      <c r="N48" s="105">
        <f>IF(COUNT(E48:K48)&gt;0,(SUM(E48:K48)-( SUM(L48:M48)  ))/(IF(COUNT(E48:K48)&gt;4,COUNT(E48:K48)-2,COUNT(E48:K48))),"")</f>
        <v>4.7333333333333334</v>
      </c>
      <c r="O48" s="138">
        <f>IF(COUNT(E48:K48)&gt;0,N48*Obligatoria1GD,"")</f>
        <v>7.5733333333333341</v>
      </c>
      <c r="P48" s="144"/>
      <c r="Q48" s="141">
        <f>IF(COUNT(E48:K51)&gt;0,SUM(O48:O51),"")</f>
        <v>32.443333333333328</v>
      </c>
      <c r="R48" s="106">
        <f>IF(COUNT(E48:K51)&gt;0,((Q48/TotalGD)*10)-SUM(P48:P51),0)</f>
        <v>45.060185185185176</v>
      </c>
    </row>
    <row r="49" spans="1:18" x14ac:dyDescent="0.3">
      <c r="A49" s="87"/>
      <c r="B49" s="86"/>
      <c r="C49" s="87"/>
      <c r="D49" s="89">
        <f>Obligatoria2Cod</f>
        <v>301</v>
      </c>
      <c r="E49" s="101">
        <v>4.7</v>
      </c>
      <c r="F49" s="25">
        <v>3.7</v>
      </c>
      <c r="G49" s="25">
        <v>4.2</v>
      </c>
      <c r="H49" s="25">
        <v>4.4000000000000004</v>
      </c>
      <c r="I49" s="25">
        <v>4.2</v>
      </c>
      <c r="J49" s="25" t="str">
        <f>IF(JuecesPanel&gt;=6,"",IF((JuecesPanel+JuecesCalc)&lt;6,"",IF(COUNT(E49:I49)&gt;0,AVERAGE(E49:I49),"")))</f>
        <v/>
      </c>
      <c r="K49" s="25" t="str">
        <f>IF(JuecesPanel&gt;=7,"",IF((JuecesPanel+JuecesCalc)&lt;7,"",IF(COUNT(E49:J49)&gt;0,AVERAGE(E49:J49),"")))</f>
        <v/>
      </c>
      <c r="L49" s="25">
        <f>IF(COUNT(E49:K49)&gt;4,MAX(E49:K49),"")</f>
        <v>4.7</v>
      </c>
      <c r="M49" s="25">
        <f>IF(COUNT(E49:K49)&gt;4,MIN(E49:K49),"")</f>
        <v>3.7</v>
      </c>
      <c r="N49" s="88">
        <f>IF(COUNT(E49:K49)&gt;0,(SUM(E49:K49)-( SUM(L49:M49)  ))/(IF(COUNT(E49:K49)&gt;4,COUNT(E49:K49)-2,COUNT(E49:K49))),"")</f>
        <v>4.2666666666666666</v>
      </c>
      <c r="O49" s="139">
        <f>IF(COUNT(E49:K49)&gt;0,N49*Obligatoria2GD,"")</f>
        <v>8.1066666666666656</v>
      </c>
      <c r="P49" s="145"/>
      <c r="Q49" s="142"/>
      <c r="R49" s="107"/>
    </row>
    <row r="50" spans="1:18" x14ac:dyDescent="0.3">
      <c r="A50" s="87"/>
      <c r="B50" s="86"/>
      <c r="C50" s="87"/>
      <c r="D50" s="89">
        <f>Opcional1Cod</f>
        <v>420</v>
      </c>
      <c r="E50" s="113">
        <v>5</v>
      </c>
      <c r="F50" s="26">
        <v>4.3</v>
      </c>
      <c r="G50" s="26">
        <v>4.4000000000000004</v>
      </c>
      <c r="H50" s="26">
        <v>4.5999999999999996</v>
      </c>
      <c r="I50" s="26">
        <v>4.0999999999999996</v>
      </c>
      <c r="J50" s="26" t="str">
        <f>IF(JuecesPanel&gt;=6,"",IF((JuecesPanel+JuecesCalc)&lt;6,"",IF(COUNT(E50:I50)&gt;0,AVERAGE(E50:I50),"")))</f>
        <v/>
      </c>
      <c r="K50" s="26" t="str">
        <f>IF(JuecesPanel&gt;=7,"",IF((JuecesPanel+JuecesCalc)&lt;7,"",IF(COUNT(E50:J50)&gt;0,AVERAGE(E50:J50),"")))</f>
        <v/>
      </c>
      <c r="L50" s="25">
        <f>IF(COUNT(E50:K50)&gt;4,MAX(E50:K50),"")</f>
        <v>5</v>
      </c>
      <c r="M50" s="25">
        <f>IF(COUNT(E50:K50)&gt;4,MIN(E50:K50),"")</f>
        <v>4.0999999999999996</v>
      </c>
      <c r="N50" s="88">
        <f>IF(COUNT(E50:K50)&gt;0,(SUM(E50:K50)-( SUM(L50:M50)  ))/(IF(COUNT(E50:K50)&gt;4,COUNT(E50:K50)-2,COUNT(E50:K50))),"")</f>
        <v>4.4333333333333327</v>
      </c>
      <c r="O50" s="139">
        <f>IF(COUNT(E50:K50)&gt;0,N50*Opcional1GD,"")</f>
        <v>8.423333333333332</v>
      </c>
      <c r="P50" s="145"/>
      <c r="Q50" s="142"/>
      <c r="R50" s="107"/>
    </row>
    <row r="51" spans="1:18" x14ac:dyDescent="0.3">
      <c r="A51" s="108"/>
      <c r="B51" s="109"/>
      <c r="C51" s="108"/>
      <c r="D51" s="89">
        <f>Opcional2Cod</f>
        <v>327</v>
      </c>
      <c r="E51" s="102">
        <v>5</v>
      </c>
      <c r="F51" s="99">
        <v>4.2</v>
      </c>
      <c r="G51" s="99">
        <v>4.4000000000000004</v>
      </c>
      <c r="H51" s="99">
        <v>4.8</v>
      </c>
      <c r="I51" s="99">
        <v>4.7</v>
      </c>
      <c r="J51" s="99" t="str">
        <f>IF(JuecesPanel&gt;=6,"",IF((JuecesPanel+JuecesCalc)&lt;6,"",IF(COUNT(E51:I51)&gt;0,AVERAGE(E51:I51),"")))</f>
        <v/>
      </c>
      <c r="K51" s="99" t="str">
        <f>IF(JuecesPanel&gt;=7,"",IF((JuecesPanel+JuecesCalc)&lt;7,"",IF(COUNT(E51:J51)&gt;0,AVERAGE(E51:J51),"")))</f>
        <v/>
      </c>
      <c r="L51" s="99">
        <f>IF(COUNT(E51:K51)&gt;4,MAX(E51:K51),"")</f>
        <v>5</v>
      </c>
      <c r="M51" s="99">
        <f>IF(COUNT(E51:K51)&gt;4,MIN(E51:K51),"")</f>
        <v>4.2</v>
      </c>
      <c r="N51" s="110">
        <f>IF(COUNT(E51:K51)&gt;0,(SUM(E51:K51)-( SUM(L51:M51)  ))/(IF(COUNT(E51:K51)&gt;4,COUNT(E51:K51)-2,COUNT(E51:K51))),"")</f>
        <v>4.6333333333333329</v>
      </c>
      <c r="O51" s="140">
        <f>IF(COUNT(E51:K51)&gt;0,N51*Opcional2GD,"")</f>
        <v>8.34</v>
      </c>
      <c r="P51" s="146"/>
      <c r="Q51" s="143"/>
      <c r="R51" s="111"/>
    </row>
    <row r="52" spans="1:18" x14ac:dyDescent="0.3">
      <c r="A52" s="147">
        <v>12</v>
      </c>
      <c r="B52" s="186" t="s">
        <v>146</v>
      </c>
      <c r="C52" s="187" t="s">
        <v>122</v>
      </c>
      <c r="D52" s="148" t="s">
        <v>113</v>
      </c>
      <c r="E52" s="149" t="s">
        <v>113</v>
      </c>
      <c r="F52" s="150" t="s">
        <v>113</v>
      </c>
      <c r="G52" s="150" t="s">
        <v>113</v>
      </c>
      <c r="H52" s="150" t="s">
        <v>113</v>
      </c>
      <c r="I52" s="150" t="s">
        <v>113</v>
      </c>
      <c r="J52" s="150" t="s">
        <v>113</v>
      </c>
      <c r="K52" s="151" t="s">
        <v>113</v>
      </c>
      <c r="L52" s="152" t="str">
        <f>IF(COUNT(E52:K52)&gt;4,MAX(E52:K52),"")</f>
        <v/>
      </c>
      <c r="M52" s="153" t="str">
        <f>IF(COUNT(E52:K52)&gt;4,MIN(E52:K52),"")</f>
        <v/>
      </c>
      <c r="N52" s="154" t="str">
        <f>IF(COUNT(E52:K52)&gt;0,(SUM(E52:K52)-( SUM(L52:M52)  ))/(IF(COUNT(E52:K52)&gt;4,COUNT(E52:K52)-2,COUNT(E52:K52))),"")</f>
        <v/>
      </c>
      <c r="O52" s="155" t="str">
        <f>IF(COUNT(E52:K52)&gt;0,N52*Obligatoria1GD,"")</f>
        <v/>
      </c>
      <c r="P52" s="156"/>
      <c r="Q52" s="157" t="str">
        <f>IF(COUNT(E52:K55)&gt;0,SUM(O52:O55),"")</f>
        <v/>
      </c>
      <c r="R52" s="158"/>
    </row>
    <row r="53" spans="1:18" x14ac:dyDescent="0.3">
      <c r="A53" s="159"/>
      <c r="B53" s="160"/>
      <c r="C53" s="161"/>
      <c r="D53" s="162" t="s">
        <v>113</v>
      </c>
      <c r="E53" s="163" t="s">
        <v>113</v>
      </c>
      <c r="F53" s="164" t="s">
        <v>113</v>
      </c>
      <c r="G53" s="164" t="s">
        <v>113</v>
      </c>
      <c r="H53" s="164" t="s">
        <v>113</v>
      </c>
      <c r="I53" s="164" t="s">
        <v>113</v>
      </c>
      <c r="J53" s="164" t="s">
        <v>113</v>
      </c>
      <c r="K53" s="165" t="s">
        <v>113</v>
      </c>
      <c r="L53" s="166" t="str">
        <f>IF(COUNT(E53:K53)&gt;4,MAX(E53:K53),"")</f>
        <v/>
      </c>
      <c r="M53" s="167" t="str">
        <f>IF(COUNT(E53:K53)&gt;4,MIN(E53:K53),"")</f>
        <v/>
      </c>
      <c r="N53" s="168" t="str">
        <f>IF(COUNT(E53:K53)&gt;0,(SUM(E53:K53)-( SUM(L53:M53)  ))/(IF(COUNT(E53:K53)&gt;4,COUNT(E53:K53)-2,COUNT(E53:K53))),"")</f>
        <v/>
      </c>
      <c r="O53" s="169" t="str">
        <f>IF(COUNT(E53:K53)&gt;0,N53*Obligatoria2GD,"")</f>
        <v/>
      </c>
      <c r="P53" s="170"/>
      <c r="Q53" s="171"/>
      <c r="R53" s="172"/>
    </row>
    <row r="54" spans="1:18" x14ac:dyDescent="0.3">
      <c r="A54" s="159"/>
      <c r="B54" s="160"/>
      <c r="C54" s="161"/>
      <c r="D54" s="162" t="s">
        <v>113</v>
      </c>
      <c r="E54" s="163" t="s">
        <v>113</v>
      </c>
      <c r="F54" s="164" t="s">
        <v>113</v>
      </c>
      <c r="G54" s="164" t="s">
        <v>113</v>
      </c>
      <c r="H54" s="164" t="s">
        <v>113</v>
      </c>
      <c r="I54" s="164" t="s">
        <v>113</v>
      </c>
      <c r="J54" s="164" t="s">
        <v>113</v>
      </c>
      <c r="K54" s="165" t="s">
        <v>113</v>
      </c>
      <c r="L54" s="166" t="str">
        <f>IF(COUNT(E54:K54)&gt;4,MAX(E54:K54),"")</f>
        <v/>
      </c>
      <c r="M54" s="167" t="str">
        <f>IF(COUNT(E54:K54)&gt;4,MIN(E54:K54),"")</f>
        <v/>
      </c>
      <c r="N54" s="168" t="str">
        <f>IF(COUNT(E54:K54)&gt;0,(SUM(E54:K54)-( SUM(L54:M54)  ))/(IF(COUNT(E54:K54)&gt;4,COUNT(E54:K54)-2,COUNT(E54:K54))),"")</f>
        <v/>
      </c>
      <c r="O54" s="169" t="str">
        <f>IF(COUNT(E54:K54)&gt;0,N54*Opcional1GD,"")</f>
        <v/>
      </c>
      <c r="P54" s="170"/>
      <c r="Q54" s="171"/>
      <c r="R54" s="172"/>
    </row>
    <row r="55" spans="1:18" x14ac:dyDescent="0.3">
      <c r="A55" s="173"/>
      <c r="B55" s="174"/>
      <c r="C55" s="175"/>
      <c r="D55" s="162" t="s">
        <v>113</v>
      </c>
      <c r="E55" s="176" t="s">
        <v>113</v>
      </c>
      <c r="F55" s="177" t="s">
        <v>113</v>
      </c>
      <c r="G55" s="177" t="s">
        <v>113</v>
      </c>
      <c r="H55" s="177" t="s">
        <v>113</v>
      </c>
      <c r="I55" s="177" t="s">
        <v>113</v>
      </c>
      <c r="J55" s="177" t="s">
        <v>113</v>
      </c>
      <c r="K55" s="178" t="s">
        <v>113</v>
      </c>
      <c r="L55" s="179" t="str">
        <f>IF(COUNT(E55:K55)&gt;4,MAX(E55:K55),"")</f>
        <v/>
      </c>
      <c r="M55" s="180" t="str">
        <f>IF(COUNT(E55:K55)&gt;4,MIN(E55:K55),"")</f>
        <v/>
      </c>
      <c r="N55" s="181" t="str">
        <f>IF(COUNT(E55:K55)&gt;0,(SUM(E55:K55)-( SUM(L55:M55)  ))/(IF(COUNT(E55:K55)&gt;4,COUNT(E55:K55)-2,COUNT(E55:K55))),"")</f>
        <v/>
      </c>
      <c r="O55" s="182" t="str">
        <f>IF(COUNT(E55:K55)&gt;0,N55*Opcional2GD,"")</f>
        <v/>
      </c>
      <c r="P55" s="183"/>
      <c r="Q55" s="184"/>
      <c r="R55" s="185"/>
    </row>
    <row r="56" spans="1:18" x14ac:dyDescent="0.3">
      <c r="A56" s="96">
        <v>13</v>
      </c>
      <c r="B56" s="104" t="s">
        <v>147</v>
      </c>
      <c r="C56" s="103" t="s">
        <v>114</v>
      </c>
      <c r="D56" s="89">
        <f>Obligatoria1Cod</f>
        <v>106</v>
      </c>
      <c r="E56" s="112">
        <v>4.3</v>
      </c>
      <c r="F56" s="98">
        <v>4.4000000000000004</v>
      </c>
      <c r="G56" s="98">
        <v>4.2</v>
      </c>
      <c r="H56" s="98">
        <v>4.8</v>
      </c>
      <c r="I56" s="98">
        <v>4.4000000000000004</v>
      </c>
      <c r="J56" s="98" t="str">
        <f>IF(JuecesPanel&gt;=6,"",IF((JuecesPanel+JuecesCalc)&lt;6,"",IF(COUNT(E56:I56)&gt;0,AVERAGE(E56:I56),"")))</f>
        <v/>
      </c>
      <c r="K56" s="98" t="str">
        <f>IF(JuecesPanel&gt;=7,"",IF((JuecesPanel+JuecesCalc)&lt;7,"",IF(COUNT(E56:J56)&gt;0,AVERAGE(E56:J56),"")))</f>
        <v/>
      </c>
      <c r="L56" s="97">
        <f>IF(COUNT(E56:K56)&gt;4,MAX(E56:K56),"")</f>
        <v>4.8</v>
      </c>
      <c r="M56" s="97">
        <f>IF(COUNT(E56:K56)&gt;4,MIN(E56:K56),"")</f>
        <v>4.2</v>
      </c>
      <c r="N56" s="105">
        <f>IF(COUNT(E56:K56)&gt;0,(SUM(E56:K56)-( SUM(L56:M56)  ))/(IF(COUNT(E56:K56)&gt;4,COUNT(E56:K56)-2,COUNT(E56:K56))),"")</f>
        <v>4.3666666666666671</v>
      </c>
      <c r="O56" s="138">
        <f>IF(COUNT(E56:K56)&gt;0,N56*Obligatoria1GD,"")</f>
        <v>6.9866666666666681</v>
      </c>
      <c r="P56" s="144"/>
      <c r="Q56" s="141">
        <f>IF(COUNT(E56:K59)&gt;0,SUM(O56:O59),"")</f>
        <v>28.333333333333336</v>
      </c>
      <c r="R56" s="106">
        <f>IF(COUNT(E56:K59)&gt;0,((Q56/TotalGD)*10)-SUM(P56:P59),0)</f>
        <v>39.351851851851855</v>
      </c>
    </row>
    <row r="57" spans="1:18" x14ac:dyDescent="0.3">
      <c r="A57" s="87"/>
      <c r="B57" s="86"/>
      <c r="C57" s="87"/>
      <c r="D57" s="89">
        <f>Obligatoria2Cod</f>
        <v>301</v>
      </c>
      <c r="E57" s="101">
        <v>3.8</v>
      </c>
      <c r="F57" s="25">
        <v>3.3</v>
      </c>
      <c r="G57" s="25">
        <v>3.5</v>
      </c>
      <c r="H57" s="25">
        <v>3.7</v>
      </c>
      <c r="I57" s="25">
        <v>4.3</v>
      </c>
      <c r="J57" s="25" t="str">
        <f>IF(JuecesPanel&gt;=6,"",IF((JuecesPanel+JuecesCalc)&lt;6,"",IF(COUNT(E57:I57)&gt;0,AVERAGE(E57:I57),"")))</f>
        <v/>
      </c>
      <c r="K57" s="25" t="str">
        <f>IF(JuecesPanel&gt;=7,"",IF((JuecesPanel+JuecesCalc)&lt;7,"",IF(COUNT(E57:J57)&gt;0,AVERAGE(E57:J57),"")))</f>
        <v/>
      </c>
      <c r="L57" s="25">
        <f>IF(COUNT(E57:K57)&gt;4,MAX(E57:K57),"")</f>
        <v>4.3</v>
      </c>
      <c r="M57" s="25">
        <f>IF(COUNT(E57:K57)&gt;4,MIN(E57:K57),"")</f>
        <v>3.3</v>
      </c>
      <c r="N57" s="88">
        <f>IF(COUNT(E57:K57)&gt;0,(SUM(E57:K57)-( SUM(L57:M57)  ))/(IF(COUNT(E57:K57)&gt;4,COUNT(E57:K57)-2,COUNT(E57:K57))),"")</f>
        <v>3.6666666666666674</v>
      </c>
      <c r="O57" s="139">
        <f>IF(COUNT(E57:K57)&gt;0,N57*Obligatoria2GD,"")</f>
        <v>6.9666666666666677</v>
      </c>
      <c r="P57" s="145"/>
      <c r="Q57" s="142"/>
      <c r="R57" s="107"/>
    </row>
    <row r="58" spans="1:18" x14ac:dyDescent="0.3">
      <c r="A58" s="87"/>
      <c r="B58" s="86"/>
      <c r="C58" s="87"/>
      <c r="D58" s="89">
        <f>Opcional1Cod</f>
        <v>420</v>
      </c>
      <c r="E58" s="113">
        <v>4.5999999999999996</v>
      </c>
      <c r="F58" s="26">
        <v>3.4</v>
      </c>
      <c r="G58" s="26">
        <v>3.6</v>
      </c>
      <c r="H58" s="26">
        <v>4.0999999999999996</v>
      </c>
      <c r="I58" s="26">
        <v>4.3</v>
      </c>
      <c r="J58" s="26" t="str">
        <f>IF(JuecesPanel&gt;=6,"",IF((JuecesPanel+JuecesCalc)&lt;6,"",IF(COUNT(E58:I58)&gt;0,AVERAGE(E58:I58),"")))</f>
        <v/>
      </c>
      <c r="K58" s="26" t="str">
        <f>IF(JuecesPanel&gt;=7,"",IF((JuecesPanel+JuecesCalc)&lt;7,"",IF(COUNT(E58:J58)&gt;0,AVERAGE(E58:J58),"")))</f>
        <v/>
      </c>
      <c r="L58" s="25">
        <f>IF(COUNT(E58:K58)&gt;4,MAX(E58:K58),"")</f>
        <v>4.5999999999999996</v>
      </c>
      <c r="M58" s="25">
        <f>IF(COUNT(E58:K58)&gt;4,MIN(E58:K58),"")</f>
        <v>3.4</v>
      </c>
      <c r="N58" s="88">
        <f>IF(COUNT(E58:K58)&gt;0,(SUM(E58:K58)-( SUM(L58:M58)  ))/(IF(COUNT(E58:K58)&gt;4,COUNT(E58:K58)-2,COUNT(E58:K58))),"")</f>
        <v>4</v>
      </c>
      <c r="O58" s="139">
        <f>IF(COUNT(E58:K58)&gt;0,N58*Opcional1GD,"")</f>
        <v>7.6</v>
      </c>
      <c r="P58" s="145"/>
      <c r="Q58" s="142"/>
      <c r="R58" s="107"/>
    </row>
    <row r="59" spans="1:18" x14ac:dyDescent="0.3">
      <c r="A59" s="108"/>
      <c r="B59" s="109"/>
      <c r="C59" s="108"/>
      <c r="D59" s="89">
        <f>Opcional2Cod</f>
        <v>327</v>
      </c>
      <c r="E59" s="102">
        <v>3.8</v>
      </c>
      <c r="F59" s="99">
        <v>3.6</v>
      </c>
      <c r="G59" s="99">
        <v>3.2</v>
      </c>
      <c r="H59" s="99">
        <v>4.5</v>
      </c>
      <c r="I59" s="99">
        <v>3.9</v>
      </c>
      <c r="J59" s="99" t="str">
        <f>IF(JuecesPanel&gt;=6,"",IF((JuecesPanel+JuecesCalc)&lt;6,"",IF(COUNT(E59:I59)&gt;0,AVERAGE(E59:I59),"")))</f>
        <v/>
      </c>
      <c r="K59" s="99" t="str">
        <f>IF(JuecesPanel&gt;=7,"",IF((JuecesPanel+JuecesCalc)&lt;7,"",IF(COUNT(E59:J59)&gt;0,AVERAGE(E59:J59),"")))</f>
        <v/>
      </c>
      <c r="L59" s="99">
        <f>IF(COUNT(E59:K59)&gt;4,MAX(E59:K59),"")</f>
        <v>4.5</v>
      </c>
      <c r="M59" s="99">
        <f>IF(COUNT(E59:K59)&gt;4,MIN(E59:K59),"")</f>
        <v>3.2</v>
      </c>
      <c r="N59" s="110">
        <f>IF(COUNT(E59:K59)&gt;0,(SUM(E59:K59)-( SUM(L59:M59)  ))/(IF(COUNT(E59:K59)&gt;4,COUNT(E59:K59)-2,COUNT(E59:K59))),"")</f>
        <v>3.7666666666666671</v>
      </c>
      <c r="O59" s="140">
        <f>IF(COUNT(E59:K59)&gt;0,N59*Opcional2GD,"")</f>
        <v>6.7800000000000011</v>
      </c>
      <c r="P59" s="146"/>
      <c r="Q59" s="143"/>
      <c r="R59" s="111"/>
    </row>
    <row r="60" spans="1:18" x14ac:dyDescent="0.3">
      <c r="A60" s="96">
        <v>14</v>
      </c>
      <c r="B60" s="104" t="s">
        <v>148</v>
      </c>
      <c r="C60" s="103" t="s">
        <v>122</v>
      </c>
      <c r="D60" s="89">
        <f>Obligatoria1Cod</f>
        <v>106</v>
      </c>
      <c r="E60" s="112">
        <v>5.0999999999999996</v>
      </c>
      <c r="F60" s="98">
        <v>4.5999999999999996</v>
      </c>
      <c r="G60" s="98">
        <v>5.5</v>
      </c>
      <c r="H60" s="98">
        <v>6</v>
      </c>
      <c r="I60" s="98">
        <v>5.4</v>
      </c>
      <c r="J60" s="98" t="str">
        <f>IF(JuecesPanel&gt;=6,"",IF((JuecesPanel+JuecesCalc)&lt;6,"",IF(COUNT(E60:I60)&gt;0,AVERAGE(E60:I60),"")))</f>
        <v/>
      </c>
      <c r="K60" s="98" t="str">
        <f>IF(JuecesPanel&gt;=7,"",IF((JuecesPanel+JuecesCalc)&lt;7,"",IF(COUNT(E60:J60)&gt;0,AVERAGE(E60:J60),"")))</f>
        <v/>
      </c>
      <c r="L60" s="97">
        <f>IF(COUNT(E60:K60)&gt;4,MAX(E60:K60),"")</f>
        <v>6</v>
      </c>
      <c r="M60" s="97">
        <f>IF(COUNT(E60:K60)&gt;4,MIN(E60:K60),"")</f>
        <v>4.5999999999999996</v>
      </c>
      <c r="N60" s="105">
        <f>IF(COUNT(E60:K60)&gt;0,(SUM(E60:K60)-( SUM(L60:M60)  ))/(IF(COUNT(E60:K60)&gt;4,COUNT(E60:K60)-2,COUNT(E60:K60))),"")</f>
        <v>5.333333333333333</v>
      </c>
      <c r="O60" s="138">
        <f>IF(COUNT(E60:K60)&gt;0,N60*Obligatoria1GD,"")</f>
        <v>8.5333333333333332</v>
      </c>
      <c r="P60" s="144"/>
      <c r="Q60" s="141">
        <f>IF(COUNT(E60:K63)&gt;0,SUM(O60:O63),"")</f>
        <v>35.979999999999997</v>
      </c>
      <c r="R60" s="106">
        <f>IF(COUNT(E60:K63)&gt;0,((Q60/TotalGD)*10)-SUM(P60:P63),0)</f>
        <v>49.972222222222214</v>
      </c>
    </row>
    <row r="61" spans="1:18" x14ac:dyDescent="0.3">
      <c r="A61" s="87"/>
      <c r="B61" s="86"/>
      <c r="C61" s="87"/>
      <c r="D61" s="89">
        <f>Obligatoria2Cod</f>
        <v>301</v>
      </c>
      <c r="E61" s="101">
        <v>4.5999999999999996</v>
      </c>
      <c r="F61" s="25">
        <v>4.3</v>
      </c>
      <c r="G61" s="25">
        <v>5.5</v>
      </c>
      <c r="H61" s="25">
        <v>4.9000000000000004</v>
      </c>
      <c r="I61" s="25">
        <v>4.5</v>
      </c>
      <c r="J61" s="25" t="str">
        <f>IF(JuecesPanel&gt;=6,"",IF((JuecesPanel+JuecesCalc)&lt;6,"",IF(COUNT(E61:I61)&gt;0,AVERAGE(E61:I61),"")))</f>
        <v/>
      </c>
      <c r="K61" s="25" t="str">
        <f>IF(JuecesPanel&gt;=7,"",IF((JuecesPanel+JuecesCalc)&lt;7,"",IF(COUNT(E61:J61)&gt;0,AVERAGE(E61:J61),"")))</f>
        <v/>
      </c>
      <c r="L61" s="25">
        <f>IF(COUNT(E61:K61)&gt;4,MAX(E61:K61),"")</f>
        <v>5.5</v>
      </c>
      <c r="M61" s="25">
        <f>IF(COUNT(E61:K61)&gt;4,MIN(E61:K61),"")</f>
        <v>4.3</v>
      </c>
      <c r="N61" s="88">
        <f>IF(COUNT(E61:K61)&gt;0,(SUM(E61:K61)-( SUM(L61:M61)  ))/(IF(COUNT(E61:K61)&gt;4,COUNT(E61:K61)-2,COUNT(E61:K61))),"")</f>
        <v>4.6666666666666652</v>
      </c>
      <c r="O61" s="139">
        <f>IF(COUNT(E61:K61)&gt;0,N61*Obligatoria2GD,"")</f>
        <v>8.8666666666666636</v>
      </c>
      <c r="P61" s="145"/>
      <c r="Q61" s="142"/>
      <c r="R61" s="107"/>
    </row>
    <row r="62" spans="1:18" x14ac:dyDescent="0.3">
      <c r="A62" s="87"/>
      <c r="B62" s="86"/>
      <c r="C62" s="87"/>
      <c r="D62" s="89">
        <f>Opcional1Cod</f>
        <v>420</v>
      </c>
      <c r="E62" s="113">
        <v>5.7</v>
      </c>
      <c r="F62" s="26">
        <v>4.5</v>
      </c>
      <c r="G62" s="26">
        <v>4.7</v>
      </c>
      <c r="H62" s="26">
        <v>5.2</v>
      </c>
      <c r="I62" s="26">
        <v>5.8</v>
      </c>
      <c r="J62" s="26" t="str">
        <f>IF(JuecesPanel&gt;=6,"",IF((JuecesPanel+JuecesCalc)&lt;6,"",IF(COUNT(E62:I62)&gt;0,AVERAGE(E62:I62),"")))</f>
        <v/>
      </c>
      <c r="K62" s="26" t="str">
        <f>IF(JuecesPanel&gt;=7,"",IF((JuecesPanel+JuecesCalc)&lt;7,"",IF(COUNT(E62:J62)&gt;0,AVERAGE(E62:J62),"")))</f>
        <v/>
      </c>
      <c r="L62" s="25">
        <f>IF(COUNT(E62:K62)&gt;4,MAX(E62:K62),"")</f>
        <v>5.8</v>
      </c>
      <c r="M62" s="25">
        <f>IF(COUNT(E62:K62)&gt;4,MIN(E62:K62),"")</f>
        <v>4.5</v>
      </c>
      <c r="N62" s="88">
        <f>IF(COUNT(E62:K62)&gt;0,(SUM(E62:K62)-( SUM(L62:M62)  ))/(IF(COUNT(E62:K62)&gt;4,COUNT(E62:K62)-2,COUNT(E62:K62))),"")</f>
        <v>5.1999999999999993</v>
      </c>
      <c r="O62" s="139">
        <f>IF(COUNT(E62:K62)&gt;0,N62*Opcional1GD,"")</f>
        <v>9.879999999999999</v>
      </c>
      <c r="P62" s="145"/>
      <c r="Q62" s="142"/>
      <c r="R62" s="107"/>
    </row>
    <row r="63" spans="1:18" x14ac:dyDescent="0.3">
      <c r="A63" s="108"/>
      <c r="B63" s="109"/>
      <c r="C63" s="108"/>
      <c r="D63" s="89">
        <f>Opcional2Cod</f>
        <v>327</v>
      </c>
      <c r="E63" s="102">
        <v>4.5</v>
      </c>
      <c r="F63" s="99">
        <v>4.5999999999999996</v>
      </c>
      <c r="G63" s="99">
        <v>4.9000000000000004</v>
      </c>
      <c r="H63" s="99">
        <v>5.3</v>
      </c>
      <c r="I63" s="99">
        <v>5</v>
      </c>
      <c r="J63" s="99" t="str">
        <f>IF(JuecesPanel&gt;=6,"",IF((JuecesPanel+JuecesCalc)&lt;6,"",IF(COUNT(E63:I63)&gt;0,AVERAGE(E63:I63),"")))</f>
        <v/>
      </c>
      <c r="K63" s="99" t="str">
        <f>IF(JuecesPanel&gt;=7,"",IF((JuecesPanel+JuecesCalc)&lt;7,"",IF(COUNT(E63:J63)&gt;0,AVERAGE(E63:J63),"")))</f>
        <v/>
      </c>
      <c r="L63" s="99">
        <f>IF(COUNT(E63:K63)&gt;4,MAX(E63:K63),"")</f>
        <v>5.3</v>
      </c>
      <c r="M63" s="99">
        <f>IF(COUNT(E63:K63)&gt;4,MIN(E63:K63),"")</f>
        <v>4.5</v>
      </c>
      <c r="N63" s="110">
        <f>IF(COUNT(E63:K63)&gt;0,(SUM(E63:K63)-( SUM(L63:M63)  ))/(IF(COUNT(E63:K63)&gt;4,COUNT(E63:K63)-2,COUNT(E63:K63))),"")</f>
        <v>4.833333333333333</v>
      </c>
      <c r="O63" s="140">
        <f>IF(COUNT(E63:K63)&gt;0,N63*Opcional2GD,"")</f>
        <v>8.6999999999999993</v>
      </c>
      <c r="P63" s="146"/>
      <c r="Q63" s="143"/>
      <c r="R63" s="111"/>
    </row>
    <row r="64" spans="1:18" x14ac:dyDescent="0.3">
      <c r="A64" s="96">
        <v>15</v>
      </c>
      <c r="B64" s="104" t="s">
        <v>149</v>
      </c>
      <c r="C64" s="103" t="s">
        <v>124</v>
      </c>
      <c r="D64" s="89">
        <f>Obligatoria1Cod</f>
        <v>106</v>
      </c>
      <c r="E64" s="112">
        <v>4.9000000000000004</v>
      </c>
      <c r="F64" s="98">
        <v>4.4000000000000004</v>
      </c>
      <c r="G64" s="98">
        <v>5.2</v>
      </c>
      <c r="H64" s="98">
        <v>5.4</v>
      </c>
      <c r="I64" s="98">
        <v>4.9000000000000004</v>
      </c>
      <c r="J64" s="98" t="str">
        <f>IF(JuecesPanel&gt;=6,"",IF((JuecesPanel+JuecesCalc)&lt;6,"",IF(COUNT(E64:I64)&gt;0,AVERAGE(E64:I64),"")))</f>
        <v/>
      </c>
      <c r="K64" s="98" t="str">
        <f>IF(JuecesPanel&gt;=7,"",IF((JuecesPanel+JuecesCalc)&lt;7,"",IF(COUNT(E64:J64)&gt;0,AVERAGE(E64:J64),"")))</f>
        <v/>
      </c>
      <c r="L64" s="97">
        <f>IF(COUNT(E64:K64)&gt;4,MAX(E64:K64),"")</f>
        <v>5.4</v>
      </c>
      <c r="M64" s="97">
        <f>IF(COUNT(E64:K64)&gt;4,MIN(E64:K64),"")</f>
        <v>4.4000000000000004</v>
      </c>
      <c r="N64" s="105">
        <f>IF(COUNT(E64:K64)&gt;0,(SUM(E64:K64)-( SUM(L64:M64)  ))/(IF(COUNT(E64:K64)&gt;4,COUNT(E64:K64)-2,COUNT(E64:K64))),"")</f>
        <v>4.9999999999999991</v>
      </c>
      <c r="O64" s="138">
        <f>IF(COUNT(E64:K64)&gt;0,N64*Obligatoria1GD,"")</f>
        <v>7.9999999999999991</v>
      </c>
      <c r="P64" s="144"/>
      <c r="Q64" s="141">
        <f>IF(COUNT(E64:K67)&gt;0,SUM(O64:O67),"")</f>
        <v>34.986666666666665</v>
      </c>
      <c r="R64" s="106">
        <f>IF(COUNT(E64:K67)&gt;0,((Q64/TotalGD)*10)-SUM(P64:P67),0)</f>
        <v>48.592592592592595</v>
      </c>
    </row>
    <row r="65" spans="1:18" x14ac:dyDescent="0.3">
      <c r="A65" s="87"/>
      <c r="B65" s="86"/>
      <c r="C65" s="87"/>
      <c r="D65" s="89">
        <f>Obligatoria2Cod</f>
        <v>301</v>
      </c>
      <c r="E65" s="101">
        <v>4.9000000000000004</v>
      </c>
      <c r="F65" s="25">
        <v>4.0999999999999996</v>
      </c>
      <c r="G65" s="25">
        <v>4.5999999999999996</v>
      </c>
      <c r="H65" s="25">
        <v>5</v>
      </c>
      <c r="I65" s="25">
        <v>4.5999999999999996</v>
      </c>
      <c r="J65" s="25" t="str">
        <f>IF(JuecesPanel&gt;=6,"",IF((JuecesPanel+JuecesCalc)&lt;6,"",IF(COUNT(E65:I65)&gt;0,AVERAGE(E65:I65),"")))</f>
        <v/>
      </c>
      <c r="K65" s="25" t="str">
        <f>IF(JuecesPanel&gt;=7,"",IF((JuecesPanel+JuecesCalc)&lt;7,"",IF(COUNT(E65:J65)&gt;0,AVERAGE(E65:J65),"")))</f>
        <v/>
      </c>
      <c r="L65" s="25">
        <f>IF(COUNT(E65:K65)&gt;4,MAX(E65:K65),"")</f>
        <v>5</v>
      </c>
      <c r="M65" s="25">
        <f>IF(COUNT(E65:K65)&gt;4,MIN(E65:K65),"")</f>
        <v>4.0999999999999996</v>
      </c>
      <c r="N65" s="88">
        <f>IF(COUNT(E65:K65)&gt;0,(SUM(E65:K65)-( SUM(L65:M65)  ))/(IF(COUNT(E65:K65)&gt;4,COUNT(E65:K65)-2,COUNT(E65:K65))),"")</f>
        <v>4.7000000000000011</v>
      </c>
      <c r="O65" s="139">
        <f>IF(COUNT(E65:K65)&gt;0,N65*Obligatoria2GD,"")</f>
        <v>8.9300000000000015</v>
      </c>
      <c r="P65" s="145"/>
      <c r="Q65" s="142"/>
      <c r="R65" s="107"/>
    </row>
    <row r="66" spans="1:18" x14ac:dyDescent="0.3">
      <c r="A66" s="87"/>
      <c r="B66" s="86"/>
      <c r="C66" s="87"/>
      <c r="D66" s="89">
        <f>Opcional1Cod</f>
        <v>420</v>
      </c>
      <c r="E66" s="113">
        <v>5</v>
      </c>
      <c r="F66" s="26">
        <v>4.7</v>
      </c>
      <c r="G66" s="26">
        <v>4.8</v>
      </c>
      <c r="H66" s="26">
        <v>4.7</v>
      </c>
      <c r="I66" s="26">
        <v>4.8</v>
      </c>
      <c r="J66" s="26" t="str">
        <f>IF(JuecesPanel&gt;=6,"",IF((JuecesPanel+JuecesCalc)&lt;6,"",IF(COUNT(E66:I66)&gt;0,AVERAGE(E66:I66),"")))</f>
        <v/>
      </c>
      <c r="K66" s="26" t="str">
        <f>IF(JuecesPanel&gt;=7,"",IF((JuecesPanel+JuecesCalc)&lt;7,"",IF(COUNT(E66:J66)&gt;0,AVERAGE(E66:J66),"")))</f>
        <v/>
      </c>
      <c r="L66" s="25">
        <f>IF(COUNT(E66:K66)&gt;4,MAX(E66:K66),"")</f>
        <v>5</v>
      </c>
      <c r="M66" s="25">
        <f>IF(COUNT(E66:K66)&gt;4,MIN(E66:K66),"")</f>
        <v>4.7</v>
      </c>
      <c r="N66" s="88">
        <f>IF(COUNT(E66:K66)&gt;0,(SUM(E66:K66)-( SUM(L66:M66)  ))/(IF(COUNT(E66:K66)&gt;4,COUNT(E66:K66)-2,COUNT(E66:K66))),"")</f>
        <v>4.7666666666666666</v>
      </c>
      <c r="O66" s="139">
        <f>IF(COUNT(E66:K66)&gt;0,N66*Opcional1GD,"")</f>
        <v>9.0566666666666666</v>
      </c>
      <c r="P66" s="145"/>
      <c r="Q66" s="142"/>
      <c r="R66" s="107"/>
    </row>
    <row r="67" spans="1:18" x14ac:dyDescent="0.3">
      <c r="A67" s="108"/>
      <c r="B67" s="109"/>
      <c r="C67" s="108"/>
      <c r="D67" s="89">
        <f>Opcional2Cod</f>
        <v>327</v>
      </c>
      <c r="E67" s="102">
        <v>5.2</v>
      </c>
      <c r="F67" s="99">
        <v>5</v>
      </c>
      <c r="G67" s="99">
        <v>4.7</v>
      </c>
      <c r="H67" s="99">
        <v>5.0999999999999996</v>
      </c>
      <c r="I67" s="99">
        <v>4.9000000000000004</v>
      </c>
      <c r="J67" s="99" t="str">
        <f>IF(JuecesPanel&gt;=6,"",IF((JuecesPanel+JuecesCalc)&lt;6,"",IF(COUNT(E67:I67)&gt;0,AVERAGE(E67:I67),"")))</f>
        <v/>
      </c>
      <c r="K67" s="99" t="str">
        <f>IF(JuecesPanel&gt;=7,"",IF((JuecesPanel+JuecesCalc)&lt;7,"",IF(COUNT(E67:J67)&gt;0,AVERAGE(E67:J67),"")))</f>
        <v/>
      </c>
      <c r="L67" s="99">
        <f>IF(COUNT(E67:K67)&gt;4,MAX(E67:K67),"")</f>
        <v>5.2</v>
      </c>
      <c r="M67" s="99">
        <f>IF(COUNT(E67:K67)&gt;4,MIN(E67:K67),"")</f>
        <v>4.7</v>
      </c>
      <c r="N67" s="110">
        <f>IF(COUNT(E67:K67)&gt;0,(SUM(E67:K67)-( SUM(L67:M67)  ))/(IF(COUNT(E67:K67)&gt;4,COUNT(E67:K67)-2,COUNT(E67:K67))),"")</f>
        <v>4.9999999999999991</v>
      </c>
      <c r="O67" s="140">
        <f>IF(COUNT(E67:K67)&gt;0,N67*Opcional2GD,"")</f>
        <v>8.9999999999999982</v>
      </c>
      <c r="P67" s="146"/>
      <c r="Q67" s="143"/>
      <c r="R67" s="111"/>
    </row>
    <row r="68" spans="1:18" x14ac:dyDescent="0.3">
      <c r="A68" s="96">
        <v>16</v>
      </c>
      <c r="B68" s="104" t="s">
        <v>150</v>
      </c>
      <c r="C68" s="103" t="s">
        <v>121</v>
      </c>
      <c r="D68" s="89">
        <f>Obligatoria1Cod</f>
        <v>106</v>
      </c>
      <c r="E68" s="112">
        <v>4.5999999999999996</v>
      </c>
      <c r="F68" s="98">
        <v>4.5</v>
      </c>
      <c r="G68" s="98">
        <v>5</v>
      </c>
      <c r="H68" s="98">
        <v>5.6</v>
      </c>
      <c r="I68" s="98">
        <v>4.8</v>
      </c>
      <c r="J68" s="98" t="str">
        <f>IF(JuecesPanel&gt;=6,"",IF((JuecesPanel+JuecesCalc)&lt;6,"",IF(COUNT(E68:I68)&gt;0,AVERAGE(E68:I68),"")))</f>
        <v/>
      </c>
      <c r="K68" s="98" t="str">
        <f>IF(JuecesPanel&gt;=7,"",IF((JuecesPanel+JuecesCalc)&lt;7,"",IF(COUNT(E68:J68)&gt;0,AVERAGE(E68:J68),"")))</f>
        <v/>
      </c>
      <c r="L68" s="97">
        <f>IF(COUNT(E68:K68)&gt;4,MAX(E68:K68),"")</f>
        <v>5.6</v>
      </c>
      <c r="M68" s="97">
        <f>IF(COUNT(E68:K68)&gt;4,MIN(E68:K68),"")</f>
        <v>4.5</v>
      </c>
      <c r="N68" s="105">
        <f>IF(COUNT(E68:K68)&gt;0,(SUM(E68:K68)-( SUM(L68:M68)  ))/(IF(COUNT(E68:K68)&gt;4,COUNT(E68:K68)-2,COUNT(E68:K68))),"")</f>
        <v>4.8</v>
      </c>
      <c r="O68" s="138">
        <f>IF(COUNT(E68:K68)&gt;0,N68*Obligatoria1GD,"")</f>
        <v>7.68</v>
      </c>
      <c r="P68" s="144"/>
      <c r="Q68" s="141">
        <f>IF(COUNT(E68:K71)&gt;0,SUM(O68:O71),"")</f>
        <v>34.299999999999997</v>
      </c>
      <c r="R68" s="106">
        <f>IF(COUNT(E68:K71)&gt;0,((Q68/TotalGD)*10)-SUM(P68:P71),0)</f>
        <v>47.638888888888886</v>
      </c>
    </row>
    <row r="69" spans="1:18" x14ac:dyDescent="0.3">
      <c r="A69" s="87"/>
      <c r="B69" s="86"/>
      <c r="C69" s="87"/>
      <c r="D69" s="89">
        <f>Obligatoria2Cod</f>
        <v>301</v>
      </c>
      <c r="E69" s="101">
        <v>4.5</v>
      </c>
      <c r="F69" s="25">
        <v>4.4000000000000004</v>
      </c>
      <c r="G69" s="25">
        <v>3.9</v>
      </c>
      <c r="H69" s="25">
        <v>4.7</v>
      </c>
      <c r="I69" s="25">
        <v>4.9000000000000004</v>
      </c>
      <c r="J69" s="25" t="str">
        <f>IF(JuecesPanel&gt;=6,"",IF((JuecesPanel+JuecesCalc)&lt;6,"",IF(COUNT(E69:I69)&gt;0,AVERAGE(E69:I69),"")))</f>
        <v/>
      </c>
      <c r="K69" s="25" t="str">
        <f>IF(JuecesPanel&gt;=7,"",IF((JuecesPanel+JuecesCalc)&lt;7,"",IF(COUNT(E69:J69)&gt;0,AVERAGE(E69:J69),"")))</f>
        <v/>
      </c>
      <c r="L69" s="25">
        <f>IF(COUNT(E69:K69)&gt;4,MAX(E69:K69),"")</f>
        <v>4.9000000000000004</v>
      </c>
      <c r="M69" s="25">
        <f>IF(COUNT(E69:K69)&gt;4,MIN(E69:K69),"")</f>
        <v>3.9</v>
      </c>
      <c r="N69" s="88">
        <f>IF(COUNT(E69:K69)&gt;0,(SUM(E69:K69)-( SUM(L69:M69)  ))/(IF(COUNT(E69:K69)&gt;4,COUNT(E69:K69)-2,COUNT(E69:K69))),"")</f>
        <v>4.5333333333333323</v>
      </c>
      <c r="O69" s="139">
        <f>IF(COUNT(E69:K69)&gt;0,N69*Obligatoria2GD,"")</f>
        <v>8.6133333333333315</v>
      </c>
      <c r="P69" s="145"/>
      <c r="Q69" s="142"/>
      <c r="R69" s="107"/>
    </row>
    <row r="70" spans="1:18" x14ac:dyDescent="0.3">
      <c r="A70" s="87"/>
      <c r="B70" s="86"/>
      <c r="C70" s="87"/>
      <c r="D70" s="89">
        <f>Opcional1Cod</f>
        <v>420</v>
      </c>
      <c r="E70" s="113">
        <v>5.0999999999999996</v>
      </c>
      <c r="F70" s="26">
        <v>4.4000000000000004</v>
      </c>
      <c r="G70" s="26">
        <v>4.5</v>
      </c>
      <c r="H70" s="26">
        <v>5.0999999999999996</v>
      </c>
      <c r="I70" s="26">
        <v>5</v>
      </c>
      <c r="J70" s="26" t="str">
        <f>IF(JuecesPanel&gt;=6,"",IF((JuecesPanel+JuecesCalc)&lt;6,"",IF(COUNT(E70:I70)&gt;0,AVERAGE(E70:I70),"")))</f>
        <v/>
      </c>
      <c r="K70" s="26" t="str">
        <f>IF(JuecesPanel&gt;=7,"",IF((JuecesPanel+JuecesCalc)&lt;7,"",IF(COUNT(E70:J70)&gt;0,AVERAGE(E70:J70),"")))</f>
        <v/>
      </c>
      <c r="L70" s="25">
        <f>IF(COUNT(E70:K70)&gt;4,MAX(E70:K70),"")</f>
        <v>5.0999999999999996</v>
      </c>
      <c r="M70" s="25">
        <f>IF(COUNT(E70:K70)&gt;4,MIN(E70:K70),"")</f>
        <v>4.4000000000000004</v>
      </c>
      <c r="N70" s="88">
        <f>IF(COUNT(E70:K70)&gt;0,(SUM(E70:K70)-( SUM(L70:M70)  ))/(IF(COUNT(E70:K70)&gt;4,COUNT(E70:K70)-2,COUNT(E70:K70))),"")</f>
        <v>4.8666666666666671</v>
      </c>
      <c r="O70" s="139">
        <f>IF(COUNT(E70:K70)&gt;0,N70*Opcional1GD,"")</f>
        <v>9.2466666666666679</v>
      </c>
      <c r="P70" s="145"/>
      <c r="Q70" s="142"/>
      <c r="R70" s="107"/>
    </row>
    <row r="71" spans="1:18" x14ac:dyDescent="0.3">
      <c r="A71" s="108"/>
      <c r="B71" s="109"/>
      <c r="C71" s="108"/>
      <c r="D71" s="89">
        <f>Opcional2Cod</f>
        <v>327</v>
      </c>
      <c r="E71" s="102">
        <v>4.3</v>
      </c>
      <c r="F71" s="99">
        <v>4.8</v>
      </c>
      <c r="G71" s="99">
        <v>5</v>
      </c>
      <c r="H71" s="99">
        <v>4.8</v>
      </c>
      <c r="I71" s="99">
        <v>5.0999999999999996</v>
      </c>
      <c r="J71" s="99" t="str">
        <f>IF(JuecesPanel&gt;=6,"",IF((JuecesPanel+JuecesCalc)&lt;6,"",IF(COUNT(E71:I71)&gt;0,AVERAGE(E71:I71),"")))</f>
        <v/>
      </c>
      <c r="K71" s="99" t="str">
        <f>IF(JuecesPanel&gt;=7,"",IF((JuecesPanel+JuecesCalc)&lt;7,"",IF(COUNT(E71:J71)&gt;0,AVERAGE(E71:J71),"")))</f>
        <v/>
      </c>
      <c r="L71" s="99">
        <f>IF(COUNT(E71:K71)&gt;4,MAX(E71:K71),"")</f>
        <v>5.0999999999999996</v>
      </c>
      <c r="M71" s="99">
        <f>IF(COUNT(E71:K71)&gt;4,MIN(E71:K71),"")</f>
        <v>4.3</v>
      </c>
      <c r="N71" s="110">
        <f>IF(COUNT(E71:K71)&gt;0,(SUM(E71:K71)-( SUM(L71:M71)  ))/(IF(COUNT(E71:K71)&gt;4,COUNT(E71:K71)-2,COUNT(E71:K71))),"")</f>
        <v>4.8666666666666671</v>
      </c>
      <c r="O71" s="140">
        <f>IF(COUNT(E71:K71)&gt;0,N71*Opcional2GD,"")</f>
        <v>8.7600000000000016</v>
      </c>
      <c r="P71" s="146"/>
      <c r="Q71" s="143"/>
      <c r="R71" s="111"/>
    </row>
    <row r="72" spans="1:18" x14ac:dyDescent="0.3">
      <c r="A72" s="96">
        <v>17</v>
      </c>
      <c r="B72" s="104" t="s">
        <v>151</v>
      </c>
      <c r="C72" s="103" t="s">
        <v>123</v>
      </c>
      <c r="D72" s="89">
        <f>Obligatoria1Cod</f>
        <v>106</v>
      </c>
      <c r="E72" s="112">
        <v>5</v>
      </c>
      <c r="F72" s="98">
        <v>4.2</v>
      </c>
      <c r="G72" s="98">
        <v>5.3</v>
      </c>
      <c r="H72" s="98">
        <v>5.9</v>
      </c>
      <c r="I72" s="98">
        <v>4.8</v>
      </c>
      <c r="J72" s="98" t="str">
        <f>IF(JuecesPanel&gt;=6,"",IF((JuecesPanel+JuecesCalc)&lt;6,"",IF(COUNT(E72:I72)&gt;0,AVERAGE(E72:I72),"")))</f>
        <v/>
      </c>
      <c r="K72" s="98" t="str">
        <f>IF(JuecesPanel&gt;=7,"",IF((JuecesPanel+JuecesCalc)&lt;7,"",IF(COUNT(E72:J72)&gt;0,AVERAGE(E72:J72),"")))</f>
        <v/>
      </c>
      <c r="L72" s="97">
        <f>IF(COUNT(E72:K72)&gt;4,MAX(E72:K72),"")</f>
        <v>5.9</v>
      </c>
      <c r="M72" s="97">
        <f>IF(COUNT(E72:K72)&gt;4,MIN(E72:K72),"")</f>
        <v>4.2</v>
      </c>
      <c r="N72" s="105">
        <f>IF(COUNT(E72:K72)&gt;0,(SUM(E72:K72)-( SUM(L72:M72)  ))/(IF(COUNT(E72:K72)&gt;4,COUNT(E72:K72)-2,COUNT(E72:K72))),"")</f>
        <v>5.0333333333333323</v>
      </c>
      <c r="O72" s="138">
        <f>IF(COUNT(E72:K72)&gt;0,N72*Obligatoria1GD,"")</f>
        <v>8.0533333333333328</v>
      </c>
      <c r="P72" s="144"/>
      <c r="Q72" s="141">
        <f>IF(COUNT(E72:K75)&gt;0,SUM(O72:O75),"")</f>
        <v>36.243333333333332</v>
      </c>
      <c r="R72" s="106">
        <f>IF(COUNT(E72:K75)&gt;0,((Q72/TotalGD)*10)-SUM(P72:P75),0)</f>
        <v>50.337962962962955</v>
      </c>
    </row>
    <row r="73" spans="1:18" x14ac:dyDescent="0.3">
      <c r="A73" s="87"/>
      <c r="B73" s="86"/>
      <c r="C73" s="87"/>
      <c r="D73" s="89">
        <f>Obligatoria2Cod</f>
        <v>301</v>
      </c>
      <c r="E73" s="101">
        <v>4.4000000000000004</v>
      </c>
      <c r="F73" s="25">
        <v>4.5999999999999996</v>
      </c>
      <c r="G73" s="25">
        <v>5.2</v>
      </c>
      <c r="H73" s="25">
        <v>5.3</v>
      </c>
      <c r="I73" s="25">
        <v>5</v>
      </c>
      <c r="J73" s="25" t="str">
        <f>IF(JuecesPanel&gt;=6,"",IF((JuecesPanel+JuecesCalc)&lt;6,"",IF(COUNT(E73:I73)&gt;0,AVERAGE(E73:I73),"")))</f>
        <v/>
      </c>
      <c r="K73" s="25" t="str">
        <f>IF(JuecesPanel&gt;=7,"",IF((JuecesPanel+JuecesCalc)&lt;7,"",IF(COUNT(E73:J73)&gt;0,AVERAGE(E73:J73),"")))</f>
        <v/>
      </c>
      <c r="L73" s="25">
        <f>IF(COUNT(E73:K73)&gt;4,MAX(E73:K73),"")</f>
        <v>5.3</v>
      </c>
      <c r="M73" s="25">
        <f>IF(COUNT(E73:K73)&gt;4,MIN(E73:K73),"")</f>
        <v>4.4000000000000004</v>
      </c>
      <c r="N73" s="88">
        <f>IF(COUNT(E73:K73)&gt;0,(SUM(E73:K73)-( SUM(L73:M73)  ))/(IF(COUNT(E73:K73)&gt;4,COUNT(E73:K73)-2,COUNT(E73:K73))),"")</f>
        <v>4.9333333333333336</v>
      </c>
      <c r="O73" s="139">
        <f>IF(COUNT(E73:K73)&gt;0,N73*Obligatoria2GD,"")</f>
        <v>9.3733333333333331</v>
      </c>
      <c r="P73" s="145"/>
      <c r="Q73" s="142"/>
      <c r="R73" s="107"/>
    </row>
    <row r="74" spans="1:18" x14ac:dyDescent="0.3">
      <c r="A74" s="87"/>
      <c r="B74" s="86"/>
      <c r="C74" s="87"/>
      <c r="D74" s="89">
        <f>Opcional1Cod</f>
        <v>420</v>
      </c>
      <c r="E74" s="113">
        <v>5.2</v>
      </c>
      <c r="F74" s="26">
        <v>3.8</v>
      </c>
      <c r="G74" s="26">
        <v>5.0999999999999996</v>
      </c>
      <c r="H74" s="26">
        <v>5.3</v>
      </c>
      <c r="I74" s="26">
        <v>5.2</v>
      </c>
      <c r="J74" s="26" t="str">
        <f>IF(JuecesPanel&gt;=6,"",IF((JuecesPanel+JuecesCalc)&lt;6,"",IF(COUNT(E74:I74)&gt;0,AVERAGE(E74:I74),"")))</f>
        <v/>
      </c>
      <c r="K74" s="26" t="str">
        <f>IF(JuecesPanel&gt;=7,"",IF((JuecesPanel+JuecesCalc)&lt;7,"",IF(COUNT(E74:J74)&gt;0,AVERAGE(E74:J74),"")))</f>
        <v/>
      </c>
      <c r="L74" s="25">
        <f>IF(COUNT(E74:K74)&gt;4,MAX(E74:K74),"")</f>
        <v>5.3</v>
      </c>
      <c r="M74" s="25">
        <f>IF(COUNT(E74:K74)&gt;4,MIN(E74:K74),"")</f>
        <v>3.8</v>
      </c>
      <c r="N74" s="88">
        <f>IF(COUNT(E74:K74)&gt;0,(SUM(E74:K74)-( SUM(L74:M74)  ))/(IF(COUNT(E74:K74)&gt;4,COUNT(E74:K74)-2,COUNT(E74:K74))),"")</f>
        <v>5.1666666666666661</v>
      </c>
      <c r="O74" s="139">
        <f>IF(COUNT(E74:K74)&gt;0,N74*Opcional1GD,"")</f>
        <v>9.8166666666666647</v>
      </c>
      <c r="P74" s="145"/>
      <c r="Q74" s="142"/>
      <c r="R74" s="107"/>
    </row>
    <row r="75" spans="1:18" x14ac:dyDescent="0.3">
      <c r="A75" s="108"/>
      <c r="B75" s="109"/>
      <c r="C75" s="108"/>
      <c r="D75" s="89">
        <f>Opcional2Cod</f>
        <v>327</v>
      </c>
      <c r="E75" s="102">
        <v>4.8</v>
      </c>
      <c r="F75" s="99">
        <v>5</v>
      </c>
      <c r="G75" s="99">
        <v>5.3</v>
      </c>
      <c r="H75" s="99">
        <v>5.0999999999999996</v>
      </c>
      <c r="I75" s="99">
        <v>4.9000000000000004</v>
      </c>
      <c r="J75" s="99" t="str">
        <f>IF(JuecesPanel&gt;=6,"",IF((JuecesPanel+JuecesCalc)&lt;6,"",IF(COUNT(E75:I75)&gt;0,AVERAGE(E75:I75),"")))</f>
        <v/>
      </c>
      <c r="K75" s="99" t="str">
        <f>IF(JuecesPanel&gt;=7,"",IF((JuecesPanel+JuecesCalc)&lt;7,"",IF(COUNT(E75:J75)&gt;0,AVERAGE(E75:J75),"")))</f>
        <v/>
      </c>
      <c r="L75" s="99">
        <f>IF(COUNT(E75:K75)&gt;4,MAX(E75:K75),"")</f>
        <v>5.3</v>
      </c>
      <c r="M75" s="99">
        <f>IF(COUNT(E75:K75)&gt;4,MIN(E75:K75),"")</f>
        <v>4.8</v>
      </c>
      <c r="N75" s="110">
        <f>IF(COUNT(E75:K75)&gt;0,(SUM(E75:K75)-( SUM(L75:M75)  ))/(IF(COUNT(E75:K75)&gt;4,COUNT(E75:K75)-2,COUNT(E75:K75))),"")</f>
        <v>5.0000000000000009</v>
      </c>
      <c r="O75" s="140">
        <f>IF(COUNT(E75:K75)&gt;0,N75*Opcional2GD,"")</f>
        <v>9.0000000000000018</v>
      </c>
      <c r="P75" s="146"/>
      <c r="Q75" s="143"/>
      <c r="R75" s="111"/>
    </row>
    <row r="76" spans="1:18" x14ac:dyDescent="0.3">
      <c r="A76" s="96">
        <v>18</v>
      </c>
      <c r="B76" s="104" t="s">
        <v>152</v>
      </c>
      <c r="C76" s="103" t="s">
        <v>121</v>
      </c>
      <c r="D76" s="89">
        <f>Obligatoria1Cod</f>
        <v>106</v>
      </c>
      <c r="E76" s="112">
        <v>5.2</v>
      </c>
      <c r="F76" s="98">
        <v>5.4</v>
      </c>
      <c r="G76" s="98">
        <v>5.6</v>
      </c>
      <c r="H76" s="98">
        <v>6.2</v>
      </c>
      <c r="I76" s="98">
        <v>5.0999999999999996</v>
      </c>
      <c r="J76" s="98" t="str">
        <f>IF(JuecesPanel&gt;=6,"",IF((JuecesPanel+JuecesCalc)&lt;6,"",IF(COUNT(E76:I76)&gt;0,AVERAGE(E76:I76),"")))</f>
        <v/>
      </c>
      <c r="K76" s="98" t="str">
        <f>IF(JuecesPanel&gt;=7,"",IF((JuecesPanel+JuecesCalc)&lt;7,"",IF(COUNT(E76:J76)&gt;0,AVERAGE(E76:J76),"")))</f>
        <v/>
      </c>
      <c r="L76" s="97">
        <f>IF(COUNT(E76:K76)&gt;4,MAX(E76:K76),"")</f>
        <v>6.2</v>
      </c>
      <c r="M76" s="97">
        <f>IF(COUNT(E76:K76)&gt;4,MIN(E76:K76),"")</f>
        <v>5.0999999999999996</v>
      </c>
      <c r="N76" s="105">
        <f>IF(COUNT(E76:K76)&gt;0,(SUM(E76:K76)-( SUM(L76:M76)  ))/(IF(COUNT(E76:K76)&gt;4,COUNT(E76:K76)-2,COUNT(E76:K76))),"")</f>
        <v>5.3999999999999995</v>
      </c>
      <c r="O76" s="138">
        <f>IF(COUNT(E76:K76)&gt;0,N76*Obligatoria1GD,"")</f>
        <v>8.6399999999999988</v>
      </c>
      <c r="P76" s="144"/>
      <c r="Q76" s="141">
        <f>IF(COUNT(E76:K79)&gt;0,SUM(O76:O79),"")</f>
        <v>38.876666666666665</v>
      </c>
      <c r="R76" s="106">
        <f>IF(COUNT(E76:K79)&gt;0,((Q76/TotalGD)*10)-SUM(P76:P79),0)</f>
        <v>53.995370370370367</v>
      </c>
    </row>
    <row r="77" spans="1:18" x14ac:dyDescent="0.3">
      <c r="A77" s="87"/>
      <c r="B77" s="86"/>
      <c r="C77" s="87"/>
      <c r="D77" s="89">
        <f>Obligatoria2Cod</f>
        <v>301</v>
      </c>
      <c r="E77" s="101">
        <v>5.7</v>
      </c>
      <c r="F77" s="25">
        <v>5.4</v>
      </c>
      <c r="G77" s="25">
        <v>5.9</v>
      </c>
      <c r="H77" s="25">
        <v>5.6</v>
      </c>
      <c r="I77" s="25">
        <v>5.3</v>
      </c>
      <c r="J77" s="25" t="str">
        <f>IF(JuecesPanel&gt;=6,"",IF((JuecesPanel+JuecesCalc)&lt;6,"",IF(COUNT(E77:I77)&gt;0,AVERAGE(E77:I77),"")))</f>
        <v/>
      </c>
      <c r="K77" s="25" t="str">
        <f>IF(JuecesPanel&gt;=7,"",IF((JuecesPanel+JuecesCalc)&lt;7,"",IF(COUNT(E77:J77)&gt;0,AVERAGE(E77:J77),"")))</f>
        <v/>
      </c>
      <c r="L77" s="25">
        <f>IF(COUNT(E77:K77)&gt;4,MAX(E77:K77),"")</f>
        <v>5.9</v>
      </c>
      <c r="M77" s="25">
        <f>IF(COUNT(E77:K77)&gt;4,MIN(E77:K77),"")</f>
        <v>5.3</v>
      </c>
      <c r="N77" s="88">
        <f>IF(COUNT(E77:K77)&gt;0,(SUM(E77:K77)-( SUM(L77:M77)  ))/(IF(COUNT(E77:K77)&gt;4,COUNT(E77:K77)-2,COUNT(E77:K77))),"")</f>
        <v>5.5666666666666673</v>
      </c>
      <c r="O77" s="139">
        <f>IF(COUNT(E77:K77)&gt;0,N77*Obligatoria2GD,"")</f>
        <v>10.576666666666668</v>
      </c>
      <c r="P77" s="145"/>
      <c r="Q77" s="142"/>
      <c r="R77" s="107"/>
    </row>
    <row r="78" spans="1:18" x14ac:dyDescent="0.3">
      <c r="A78" s="87"/>
      <c r="B78" s="86"/>
      <c r="C78" s="87"/>
      <c r="D78" s="89">
        <f>Opcional1Cod</f>
        <v>420</v>
      </c>
      <c r="E78" s="113">
        <v>5.3</v>
      </c>
      <c r="F78" s="26">
        <v>4.8</v>
      </c>
      <c r="G78" s="26">
        <v>5.3</v>
      </c>
      <c r="H78" s="26">
        <v>5.2</v>
      </c>
      <c r="I78" s="26">
        <v>5.0999999999999996</v>
      </c>
      <c r="J78" s="26" t="str">
        <f>IF(JuecesPanel&gt;=6,"",IF((JuecesPanel+JuecesCalc)&lt;6,"",IF(COUNT(E78:I78)&gt;0,AVERAGE(E78:I78),"")))</f>
        <v/>
      </c>
      <c r="K78" s="26" t="str">
        <f>IF(JuecesPanel&gt;=7,"",IF((JuecesPanel+JuecesCalc)&lt;7,"",IF(COUNT(E78:J78)&gt;0,AVERAGE(E78:J78),"")))</f>
        <v/>
      </c>
      <c r="L78" s="25">
        <f>IF(COUNT(E78:K78)&gt;4,MAX(E78:K78),"")</f>
        <v>5.3</v>
      </c>
      <c r="M78" s="25">
        <f>IF(COUNT(E78:K78)&gt;4,MIN(E78:K78),"")</f>
        <v>4.8</v>
      </c>
      <c r="N78" s="88">
        <f>IF(COUNT(E78:K78)&gt;0,(SUM(E78:K78)-( SUM(L78:M78)  ))/(IF(COUNT(E78:K78)&gt;4,COUNT(E78:K78)-2,COUNT(E78:K78))),"")</f>
        <v>5.1999999999999984</v>
      </c>
      <c r="O78" s="139">
        <f>IF(COUNT(E78:K78)&gt;0,N78*Opcional1GD,"")</f>
        <v>9.8799999999999972</v>
      </c>
      <c r="P78" s="145"/>
      <c r="Q78" s="142"/>
      <c r="R78" s="107"/>
    </row>
    <row r="79" spans="1:18" x14ac:dyDescent="0.3">
      <c r="A79" s="108"/>
      <c r="B79" s="109"/>
      <c r="C79" s="108"/>
      <c r="D79" s="89">
        <f>Opcional2Cod</f>
        <v>327</v>
      </c>
      <c r="E79" s="102">
        <v>5.3</v>
      </c>
      <c r="F79" s="99">
        <v>5.4</v>
      </c>
      <c r="G79" s="99">
        <v>5.4</v>
      </c>
      <c r="H79" s="99">
        <v>5.5</v>
      </c>
      <c r="I79" s="99">
        <v>5.7</v>
      </c>
      <c r="J79" s="99" t="str">
        <f>IF(JuecesPanel&gt;=6,"",IF((JuecesPanel+JuecesCalc)&lt;6,"",IF(COUNT(E79:I79)&gt;0,AVERAGE(E79:I79),"")))</f>
        <v/>
      </c>
      <c r="K79" s="99" t="str">
        <f>IF(JuecesPanel&gt;=7,"",IF((JuecesPanel+JuecesCalc)&lt;7,"",IF(COUNT(E79:J79)&gt;0,AVERAGE(E79:J79),"")))</f>
        <v/>
      </c>
      <c r="L79" s="99">
        <f>IF(COUNT(E79:K79)&gt;4,MAX(E79:K79),"")</f>
        <v>5.7</v>
      </c>
      <c r="M79" s="99">
        <f>IF(COUNT(E79:K79)&gt;4,MIN(E79:K79),"")</f>
        <v>5.3</v>
      </c>
      <c r="N79" s="110">
        <f>IF(COUNT(E79:K79)&gt;0,(SUM(E79:K79)-( SUM(L79:M79)  ))/(IF(COUNT(E79:K79)&gt;4,COUNT(E79:K79)-2,COUNT(E79:K79))),"")</f>
        <v>5.4333333333333336</v>
      </c>
      <c r="O79" s="140">
        <f>IF(COUNT(E79:K79)&gt;0,N79*Opcional2GD,"")</f>
        <v>9.7800000000000011</v>
      </c>
      <c r="P79" s="146"/>
      <c r="Q79" s="143"/>
      <c r="R79" s="111"/>
    </row>
    <row r="80" spans="1:18" x14ac:dyDescent="0.3">
      <c r="A80" s="96">
        <v>19</v>
      </c>
      <c r="B80" s="104" t="s">
        <v>153</v>
      </c>
      <c r="C80" s="103" t="s">
        <v>114</v>
      </c>
      <c r="D80" s="89">
        <f>Obligatoria1Cod</f>
        <v>106</v>
      </c>
      <c r="E80" s="112">
        <v>4.5999999999999996</v>
      </c>
      <c r="F80" s="98">
        <v>4.5</v>
      </c>
      <c r="G80" s="98">
        <v>4.5999999999999996</v>
      </c>
      <c r="H80" s="98">
        <v>5.2</v>
      </c>
      <c r="I80" s="98">
        <v>4.7</v>
      </c>
      <c r="J80" s="98" t="str">
        <f>IF(JuecesPanel&gt;=6,"",IF((JuecesPanel+JuecesCalc)&lt;6,"",IF(COUNT(E80:I80)&gt;0,AVERAGE(E80:I80),"")))</f>
        <v/>
      </c>
      <c r="K80" s="98" t="str">
        <f>IF(JuecesPanel&gt;=7,"",IF((JuecesPanel+JuecesCalc)&lt;7,"",IF(COUNT(E80:J80)&gt;0,AVERAGE(E80:J80),"")))</f>
        <v/>
      </c>
      <c r="L80" s="97">
        <f>IF(COUNT(E80:K80)&gt;4,MAX(E80:K80),"")</f>
        <v>5.2</v>
      </c>
      <c r="M80" s="97">
        <f>IF(COUNT(E80:K80)&gt;4,MIN(E80:K80),"")</f>
        <v>4.5</v>
      </c>
      <c r="N80" s="105">
        <f>IF(COUNT(E80:K80)&gt;0,(SUM(E80:K80)-( SUM(L80:M80)  ))/(IF(COUNT(E80:K80)&gt;4,COUNT(E80:K80)-2,COUNT(E80:K80))),"")</f>
        <v>4.6333333333333329</v>
      </c>
      <c r="O80" s="138">
        <f>IF(COUNT(E80:K80)&gt;0,N80*Obligatoria1GD,"")</f>
        <v>7.4133333333333331</v>
      </c>
      <c r="P80" s="144"/>
      <c r="Q80" s="141">
        <f>IF(COUNT(E80:K83)&gt;0,SUM(O80:O83),"")</f>
        <v>34.043333333333329</v>
      </c>
      <c r="R80" s="106">
        <f>IF(COUNT(E80:K83)&gt;0,((Q80/TotalGD)*10)-SUM(P80:P83),0)</f>
        <v>47.282407407407405</v>
      </c>
    </row>
    <row r="81" spans="1:18" x14ac:dyDescent="0.3">
      <c r="A81" s="87"/>
      <c r="B81" s="86"/>
      <c r="C81" s="87"/>
      <c r="D81" s="89">
        <f>Obligatoria2Cod</f>
        <v>301</v>
      </c>
      <c r="E81" s="101">
        <v>4.3</v>
      </c>
      <c r="F81" s="25">
        <v>4.2</v>
      </c>
      <c r="G81" s="25">
        <v>4.8</v>
      </c>
      <c r="H81" s="25">
        <v>5.0999999999999996</v>
      </c>
      <c r="I81" s="25">
        <v>4.8</v>
      </c>
      <c r="J81" s="25" t="str">
        <f>IF(JuecesPanel&gt;=6,"",IF((JuecesPanel+JuecesCalc)&lt;6,"",IF(COUNT(E81:I81)&gt;0,AVERAGE(E81:I81),"")))</f>
        <v/>
      </c>
      <c r="K81" s="25" t="str">
        <f>IF(JuecesPanel&gt;=7,"",IF((JuecesPanel+JuecesCalc)&lt;7,"",IF(COUNT(E81:J81)&gt;0,AVERAGE(E81:J81),"")))</f>
        <v/>
      </c>
      <c r="L81" s="25">
        <f>IF(COUNT(E81:K81)&gt;4,MAX(E81:K81),"")</f>
        <v>5.0999999999999996</v>
      </c>
      <c r="M81" s="25">
        <f>IF(COUNT(E81:K81)&gt;4,MIN(E81:K81),"")</f>
        <v>4.2</v>
      </c>
      <c r="N81" s="88">
        <f>IF(COUNT(E81:K81)&gt;0,(SUM(E81:K81)-( SUM(L81:M81)  ))/(IF(COUNT(E81:K81)&gt;4,COUNT(E81:K81)-2,COUNT(E81:K81))),"")</f>
        <v>4.6333333333333329</v>
      </c>
      <c r="O81" s="139">
        <f>IF(COUNT(E81:K81)&gt;0,N81*Obligatoria2GD,"")</f>
        <v>8.8033333333333328</v>
      </c>
      <c r="P81" s="145"/>
      <c r="Q81" s="142"/>
      <c r="R81" s="107"/>
    </row>
    <row r="82" spans="1:18" x14ac:dyDescent="0.3">
      <c r="A82" s="87"/>
      <c r="B82" s="86"/>
      <c r="C82" s="87"/>
      <c r="D82" s="89">
        <f>Opcional1Cod</f>
        <v>420</v>
      </c>
      <c r="E82" s="113">
        <v>4.5999999999999996</v>
      </c>
      <c r="F82" s="26">
        <v>5.2</v>
      </c>
      <c r="G82" s="26">
        <v>4.8</v>
      </c>
      <c r="H82" s="26">
        <v>5.4</v>
      </c>
      <c r="I82" s="26">
        <v>4.5</v>
      </c>
      <c r="J82" s="26" t="str">
        <f>IF(JuecesPanel&gt;=6,"",IF((JuecesPanel+JuecesCalc)&lt;6,"",IF(COUNT(E82:I82)&gt;0,AVERAGE(E82:I82),"")))</f>
        <v/>
      </c>
      <c r="K82" s="26" t="str">
        <f>IF(JuecesPanel&gt;=7,"",IF((JuecesPanel+JuecesCalc)&lt;7,"",IF(COUNT(E82:J82)&gt;0,AVERAGE(E82:J82),"")))</f>
        <v/>
      </c>
      <c r="L82" s="25">
        <f>IF(COUNT(E82:K82)&gt;4,MAX(E82:K82),"")</f>
        <v>5.4</v>
      </c>
      <c r="M82" s="25">
        <f>IF(COUNT(E82:K82)&gt;4,MIN(E82:K82),"")</f>
        <v>4.5</v>
      </c>
      <c r="N82" s="88">
        <f>IF(COUNT(E82:K82)&gt;0,(SUM(E82:K82)-( SUM(L82:M82)  ))/(IF(COUNT(E82:K82)&gt;4,COUNT(E82:K82)-2,COUNT(E82:K82))),"")</f>
        <v>4.8666666666666663</v>
      </c>
      <c r="O82" s="139">
        <f>IF(COUNT(E82:K82)&gt;0,N82*Opcional1GD,"")</f>
        <v>9.2466666666666661</v>
      </c>
      <c r="P82" s="145"/>
      <c r="Q82" s="142"/>
      <c r="R82" s="107"/>
    </row>
    <row r="83" spans="1:18" x14ac:dyDescent="0.3">
      <c r="A83" s="108"/>
      <c r="B83" s="109"/>
      <c r="C83" s="108"/>
      <c r="D83" s="89">
        <f>Opcional2Cod</f>
        <v>327</v>
      </c>
      <c r="E83" s="102">
        <v>4.3</v>
      </c>
      <c r="F83" s="99">
        <v>5</v>
      </c>
      <c r="G83" s="99">
        <v>4.5999999999999996</v>
      </c>
      <c r="H83" s="99">
        <v>5.3</v>
      </c>
      <c r="I83" s="99">
        <v>4.7</v>
      </c>
      <c r="J83" s="99" t="str">
        <f>IF(JuecesPanel&gt;=6,"",IF((JuecesPanel+JuecesCalc)&lt;6,"",IF(COUNT(E83:I83)&gt;0,AVERAGE(E83:I83),"")))</f>
        <v/>
      </c>
      <c r="K83" s="99" t="str">
        <f>IF(JuecesPanel&gt;=7,"",IF((JuecesPanel+JuecesCalc)&lt;7,"",IF(COUNT(E83:J83)&gt;0,AVERAGE(E83:J83),"")))</f>
        <v/>
      </c>
      <c r="L83" s="99">
        <f>IF(COUNT(E83:K83)&gt;4,MAX(E83:K83),"")</f>
        <v>5.3</v>
      </c>
      <c r="M83" s="99">
        <f>IF(COUNT(E83:K83)&gt;4,MIN(E83:K83),"")</f>
        <v>4.3</v>
      </c>
      <c r="N83" s="110">
        <f>IF(COUNT(E83:K83)&gt;0,(SUM(E83:K83)-( SUM(L83:M83)  ))/(IF(COUNT(E83:K83)&gt;4,COUNT(E83:K83)-2,COUNT(E83:K83))),"")</f>
        <v>4.7666666666666666</v>
      </c>
      <c r="O83" s="140">
        <f>IF(COUNT(E83:K83)&gt;0,N83*Opcional2GD,"")</f>
        <v>8.58</v>
      </c>
      <c r="P83" s="146"/>
      <c r="Q83" s="143"/>
      <c r="R83" s="111"/>
    </row>
    <row r="84" spans="1:18" x14ac:dyDescent="0.3">
      <c r="A84" s="96">
        <v>20</v>
      </c>
      <c r="B84" s="104" t="s">
        <v>135</v>
      </c>
      <c r="C84" s="103" t="s">
        <v>122</v>
      </c>
      <c r="D84" s="89">
        <f>Obligatoria1Cod</f>
        <v>106</v>
      </c>
      <c r="E84" s="112">
        <v>3.8</v>
      </c>
      <c r="F84" s="98">
        <v>3.3</v>
      </c>
      <c r="G84" s="98">
        <v>3.6</v>
      </c>
      <c r="H84" s="98">
        <v>3.6</v>
      </c>
      <c r="I84" s="98">
        <v>4.0999999999999996</v>
      </c>
      <c r="J84" s="98" t="str">
        <f>IF(JuecesPanel&gt;=6,"",IF((JuecesPanel+JuecesCalc)&lt;6,"",IF(COUNT(E84:I84)&gt;0,AVERAGE(E84:I84),"")))</f>
        <v/>
      </c>
      <c r="K84" s="98" t="str">
        <f>IF(JuecesPanel&gt;=7,"",IF((JuecesPanel+JuecesCalc)&lt;7,"",IF(COUNT(E84:J84)&gt;0,AVERAGE(E84:J84),"")))</f>
        <v/>
      </c>
      <c r="L84" s="97">
        <f>IF(COUNT(E84:K84)&gt;4,MAX(E84:K84),"")</f>
        <v>4.0999999999999996</v>
      </c>
      <c r="M84" s="97">
        <f>IF(COUNT(E84:K84)&gt;4,MIN(E84:K84),"")</f>
        <v>3.3</v>
      </c>
      <c r="N84" s="105">
        <f>IF(COUNT(E84:K84)&gt;0,(SUM(E84:K84)-( SUM(L84:M84)  ))/(IF(COUNT(E84:K84)&gt;4,COUNT(E84:K84)-2,COUNT(E84:K84))),"")</f>
        <v>3.6666666666666665</v>
      </c>
      <c r="O84" s="138">
        <f>IF(COUNT(E84:K84)&gt;0,N84*Obligatoria1GD,"")</f>
        <v>5.8666666666666671</v>
      </c>
      <c r="P84" s="144"/>
      <c r="Q84" s="141">
        <f>IF(COUNT(E84:K87)&gt;0,SUM(O84:O87),"")</f>
        <v>10.3</v>
      </c>
      <c r="R84" s="106">
        <f>IF(COUNT(E84:K87)&gt;0,((Q84/TotalGD)*10)-SUM(P84:P87),0)</f>
        <v>14.305555555555555</v>
      </c>
    </row>
    <row r="85" spans="1:18" x14ac:dyDescent="0.3">
      <c r="A85" s="87"/>
      <c r="B85" s="86"/>
      <c r="C85" s="87"/>
      <c r="D85" s="89">
        <f>Obligatoria2Cod</f>
        <v>301</v>
      </c>
      <c r="E85" s="101">
        <v>2</v>
      </c>
      <c r="F85" s="25">
        <v>2</v>
      </c>
      <c r="G85" s="25">
        <v>3</v>
      </c>
      <c r="H85" s="25">
        <v>3.2</v>
      </c>
      <c r="I85" s="25">
        <v>2</v>
      </c>
      <c r="J85" s="25" t="str">
        <f>IF(JuecesPanel&gt;=6,"",IF((JuecesPanel+JuecesCalc)&lt;6,"",IF(COUNT(E85:I85)&gt;0,AVERAGE(E85:I85),"")))</f>
        <v/>
      </c>
      <c r="K85" s="25" t="str">
        <f>IF(JuecesPanel&gt;=7,"",IF((JuecesPanel+JuecesCalc)&lt;7,"",IF(COUNT(E85:J85)&gt;0,AVERAGE(E85:J85),"")))</f>
        <v/>
      </c>
      <c r="L85" s="25">
        <f>IF(COUNT(E85:K85)&gt;4,MAX(E85:K85),"")</f>
        <v>3.2</v>
      </c>
      <c r="M85" s="25">
        <f>IF(COUNT(E85:K85)&gt;4,MIN(E85:K85),"")</f>
        <v>2</v>
      </c>
      <c r="N85" s="88">
        <f>IF(COUNT(E85:K85)&gt;0,(SUM(E85:K85)-( SUM(L85:M85)  ))/(IF(COUNT(E85:K85)&gt;4,COUNT(E85:K85)-2,COUNT(E85:K85))),"")</f>
        <v>2.333333333333333</v>
      </c>
      <c r="O85" s="139">
        <f>IF(COUNT(E85:K85)&gt;0,N85*Obligatoria2GD,"")</f>
        <v>4.4333333333333327</v>
      </c>
      <c r="P85" s="145"/>
      <c r="Q85" s="142"/>
      <c r="R85" s="107"/>
    </row>
    <row r="86" spans="1:18" x14ac:dyDescent="0.3">
      <c r="A86" s="87"/>
      <c r="B86" s="86"/>
      <c r="C86" s="87"/>
      <c r="D86" s="89">
        <f>Opcional1Cod</f>
        <v>420</v>
      </c>
      <c r="E86" s="233"/>
      <c r="F86" s="234"/>
      <c r="G86" s="234" t="str">
        <f>IF(JuecesPanel&gt;=3,"",IF((JuecesPanel+JuecesCalc)&lt;3,"",IF(COUNT(E86:F86)&gt;0,AVERAGE(E86:F86),"")))</f>
        <v/>
      </c>
      <c r="H86" s="234" t="str">
        <f>IF(JuecesPanel&gt;=4,"",IF((JuecesPanel+JuecesCalc)&lt;4,"",IF(COUNT(E86:G86)&gt;0,AVERAGE(E86:G86),"")))</f>
        <v/>
      </c>
      <c r="I86" s="234" t="str">
        <f>IF(JuecesPanel&gt;=5,"",IF((JuecesPanel+JuecesCalc)&lt;5,"",IF(COUNT(E86:H86)&gt;0,AVERAGE(E86:H86),"")))</f>
        <v/>
      </c>
      <c r="J86" s="234" t="str">
        <f>IF(JuecesPanel&gt;=6,"",IF((JuecesPanel+JuecesCalc)&lt;6,"",IF(COUNT(E86:I86)&gt;0,AVERAGE(E86:I86),"")))</f>
        <v/>
      </c>
      <c r="K86" s="234" t="str">
        <f>IF(JuecesPanel&gt;=7,"",IF((JuecesPanel+JuecesCalc)&lt;7,"",IF(COUNT(E86:J86)&gt;0,AVERAGE(E86:J86),"")))</f>
        <v/>
      </c>
      <c r="L86" s="234" t="str">
        <f>IF(COUNT(E86:K86)&gt;4,MAX(E86:K86),"")</f>
        <v/>
      </c>
      <c r="M86" s="234" t="str">
        <f>IF(COUNT(E86:K86)&gt;4,MIN(E86:K86),"")</f>
        <v/>
      </c>
      <c r="N86" s="235" t="str">
        <f>IF(COUNT(E86:K86)&gt;0,(SUM(E86:K86)-( SUM(L86:M86)  ))/(IF(COUNT(E86:K86)&gt;4,COUNT(E86:K86)-2,COUNT(E86:K86))),"")</f>
        <v/>
      </c>
      <c r="O86" s="236" t="str">
        <f>IF(COUNT(E86:K86)&gt;0,N86*Opcional1GD,"")</f>
        <v/>
      </c>
      <c r="P86" s="237"/>
      <c r="Q86" s="142"/>
      <c r="R86" s="107"/>
    </row>
    <row r="87" spans="1:18" x14ac:dyDescent="0.3">
      <c r="A87" s="108"/>
      <c r="B87" s="109"/>
      <c r="C87" s="108"/>
      <c r="D87" s="89">
        <f>Opcional2Cod</f>
        <v>327</v>
      </c>
      <c r="E87" s="238"/>
      <c r="F87" s="239"/>
      <c r="G87" s="239" t="str">
        <f>IF(JuecesPanel&gt;=3,"",IF((JuecesPanel+JuecesCalc)&lt;3,"",IF(COUNT(E87:F87)&gt;0,AVERAGE(E87:F87),"")))</f>
        <v/>
      </c>
      <c r="H87" s="239" t="str">
        <f>IF(JuecesPanel&gt;=4,"",IF((JuecesPanel+JuecesCalc)&lt;4,"",IF(COUNT(E87:G87)&gt;0,AVERAGE(E87:G87),"")))</f>
        <v/>
      </c>
      <c r="I87" s="239" t="str">
        <f>IF(JuecesPanel&gt;=5,"",IF((JuecesPanel+JuecesCalc)&lt;5,"",IF(COUNT(E87:H87)&gt;0,AVERAGE(E87:H87),"")))</f>
        <v/>
      </c>
      <c r="J87" s="239" t="str">
        <f>IF(JuecesPanel&gt;=6,"",IF((JuecesPanel+JuecesCalc)&lt;6,"",IF(COUNT(E87:I87)&gt;0,AVERAGE(E87:I87),"")))</f>
        <v/>
      </c>
      <c r="K87" s="239" t="str">
        <f>IF(JuecesPanel&gt;=7,"",IF((JuecesPanel+JuecesCalc)&lt;7,"",IF(COUNT(E87:J87)&gt;0,AVERAGE(E87:J87),"")))</f>
        <v/>
      </c>
      <c r="L87" s="239" t="str">
        <f>IF(COUNT(E87:K87)&gt;4,MAX(E87:K87),"")</f>
        <v/>
      </c>
      <c r="M87" s="239" t="str">
        <f>IF(COUNT(E87:K87)&gt;4,MIN(E87:K87),"")</f>
        <v/>
      </c>
      <c r="N87" s="240" t="str">
        <f>IF(COUNT(E87:K87)&gt;0,(SUM(E87:K87)-( SUM(L87:M87)  ))/(IF(COUNT(E87:K87)&gt;4,COUNT(E87:K87)-2,COUNT(E87:K87))),"")</f>
        <v/>
      </c>
      <c r="O87" s="241" t="str">
        <f>IF(COUNT(E87:K87)&gt;0,N87*Opcional2GD,"")</f>
        <v/>
      </c>
      <c r="P87" s="242"/>
      <c r="Q87" s="143"/>
      <c r="R87" s="111"/>
    </row>
    <row r="88" spans="1:18" x14ac:dyDescent="0.3">
      <c r="A88" s="96">
        <v>21</v>
      </c>
      <c r="B88" s="104" t="s">
        <v>154</v>
      </c>
      <c r="C88" s="103" t="s">
        <v>121</v>
      </c>
      <c r="D88" s="89">
        <f>Obligatoria1Cod</f>
        <v>106</v>
      </c>
      <c r="E88" s="112">
        <v>4.9000000000000004</v>
      </c>
      <c r="F88" s="98">
        <v>4.2</v>
      </c>
      <c r="G88" s="98">
        <v>4.5999999999999996</v>
      </c>
      <c r="H88" s="98">
        <v>4.7</v>
      </c>
      <c r="I88" s="98">
        <v>4.9000000000000004</v>
      </c>
      <c r="J88" s="98" t="str">
        <f>IF(JuecesPanel&gt;=6,"",IF((JuecesPanel+JuecesCalc)&lt;6,"",IF(COUNT(E88:I88)&gt;0,AVERAGE(E88:I88),"")))</f>
        <v/>
      </c>
      <c r="K88" s="98" t="str">
        <f>IF(JuecesPanel&gt;=7,"",IF((JuecesPanel+JuecesCalc)&lt;7,"",IF(COUNT(E88:J88)&gt;0,AVERAGE(E88:J88),"")))</f>
        <v/>
      </c>
      <c r="L88" s="97">
        <f>IF(COUNT(E88:K88)&gt;4,MAX(E88:K88),"")</f>
        <v>4.9000000000000004</v>
      </c>
      <c r="M88" s="97">
        <f>IF(COUNT(E88:K88)&gt;4,MIN(E88:K88),"")</f>
        <v>4.2</v>
      </c>
      <c r="N88" s="105">
        <f>IF(COUNT(E88:K88)&gt;0,(SUM(E88:K88)-( SUM(L88:M88)  ))/(IF(COUNT(E88:K88)&gt;4,COUNT(E88:K88)-2,COUNT(E88:K88))),"")</f>
        <v>4.7333333333333343</v>
      </c>
      <c r="O88" s="138">
        <f>IF(COUNT(E88:K88)&gt;0,N88*Obligatoria1GD,"")</f>
        <v>7.573333333333335</v>
      </c>
      <c r="P88" s="144"/>
      <c r="Q88" s="141">
        <f>IF(COUNT(E88:K91)&gt;0,SUM(O88:O91),"")</f>
        <v>32.643333333333338</v>
      </c>
      <c r="R88" s="106">
        <f>IF(COUNT(E88:K91)&gt;0,((Q88/TotalGD)*10)-SUM(P88:P91),0)</f>
        <v>45.337962962962962</v>
      </c>
    </row>
    <row r="89" spans="1:18" x14ac:dyDescent="0.3">
      <c r="A89" s="87"/>
      <c r="B89" s="86"/>
      <c r="C89" s="87"/>
      <c r="D89" s="89">
        <f>Obligatoria2Cod</f>
        <v>301</v>
      </c>
      <c r="E89" s="101">
        <v>4.9000000000000004</v>
      </c>
      <c r="F89" s="25">
        <v>4.7</v>
      </c>
      <c r="G89" s="25">
        <v>4.5999999999999996</v>
      </c>
      <c r="H89" s="25">
        <v>4.0999999999999996</v>
      </c>
      <c r="I89" s="25">
        <v>4.3</v>
      </c>
      <c r="J89" s="25" t="str">
        <f>IF(JuecesPanel&gt;=6,"",IF((JuecesPanel+JuecesCalc)&lt;6,"",IF(COUNT(E89:I89)&gt;0,AVERAGE(E89:I89),"")))</f>
        <v/>
      </c>
      <c r="K89" s="25" t="str">
        <f>IF(JuecesPanel&gt;=7,"",IF((JuecesPanel+JuecesCalc)&lt;7,"",IF(COUNT(E89:J89)&gt;0,AVERAGE(E89:J89),"")))</f>
        <v/>
      </c>
      <c r="L89" s="25">
        <f>IF(COUNT(E89:K89)&gt;4,MAX(E89:K89),"")</f>
        <v>4.9000000000000004</v>
      </c>
      <c r="M89" s="25">
        <f>IF(COUNT(E89:K89)&gt;4,MIN(E89:K89),"")</f>
        <v>4.0999999999999996</v>
      </c>
      <c r="N89" s="88">
        <f>IF(COUNT(E89:K89)&gt;0,(SUM(E89:K89)-( SUM(L89:M89)  ))/(IF(COUNT(E89:K89)&gt;4,COUNT(E89:K89)-2,COUNT(E89:K89))),"")</f>
        <v>4.5333333333333341</v>
      </c>
      <c r="O89" s="139">
        <f>IF(COUNT(E89:K89)&gt;0,N89*Obligatoria2GD,"")</f>
        <v>8.6133333333333351</v>
      </c>
      <c r="P89" s="145"/>
      <c r="Q89" s="142"/>
      <c r="R89" s="107"/>
    </row>
    <row r="90" spans="1:18" x14ac:dyDescent="0.3">
      <c r="A90" s="87"/>
      <c r="B90" s="86"/>
      <c r="C90" s="87"/>
      <c r="D90" s="89">
        <f>Opcional1Cod</f>
        <v>420</v>
      </c>
      <c r="E90" s="113">
        <v>4.4000000000000004</v>
      </c>
      <c r="F90" s="26">
        <v>4.2</v>
      </c>
      <c r="G90" s="26">
        <v>4</v>
      </c>
      <c r="H90" s="26">
        <v>4.5</v>
      </c>
      <c r="I90" s="26">
        <v>4.7</v>
      </c>
      <c r="J90" s="26" t="str">
        <f>IF(JuecesPanel&gt;=6,"",IF((JuecesPanel+JuecesCalc)&lt;6,"",IF(COUNT(E90:I90)&gt;0,AVERAGE(E90:I90),"")))</f>
        <v/>
      </c>
      <c r="K90" s="26" t="str">
        <f>IF(JuecesPanel&gt;=7,"",IF((JuecesPanel+JuecesCalc)&lt;7,"",IF(COUNT(E90:J90)&gt;0,AVERAGE(E90:J90),"")))</f>
        <v/>
      </c>
      <c r="L90" s="25">
        <f>IF(COUNT(E90:K90)&gt;4,MAX(E90:K90),"")</f>
        <v>4.7</v>
      </c>
      <c r="M90" s="25">
        <f>IF(COUNT(E90:K90)&gt;4,MIN(E90:K90),"")</f>
        <v>4</v>
      </c>
      <c r="N90" s="88">
        <f>IF(COUNT(E90:K90)&gt;0,(SUM(E90:K90)-( SUM(L90:M90)  ))/(IF(COUNT(E90:K90)&gt;4,COUNT(E90:K90)-2,COUNT(E90:K90))),"")</f>
        <v>4.3666666666666671</v>
      </c>
      <c r="O90" s="139">
        <f>IF(COUNT(E90:K90)&gt;0,N90*Opcional1GD,"")</f>
        <v>8.2966666666666669</v>
      </c>
      <c r="P90" s="145"/>
      <c r="Q90" s="142"/>
      <c r="R90" s="107"/>
    </row>
    <row r="91" spans="1:18" x14ac:dyDescent="0.3">
      <c r="A91" s="108"/>
      <c r="B91" s="109"/>
      <c r="C91" s="108"/>
      <c r="D91" s="89">
        <f>Opcional2Cod</f>
        <v>327</v>
      </c>
      <c r="E91" s="102">
        <v>4.2</v>
      </c>
      <c r="F91" s="99">
        <v>4.5999999999999996</v>
      </c>
      <c r="G91" s="99">
        <v>4.4000000000000004</v>
      </c>
      <c r="H91" s="99">
        <v>4.5999999999999996</v>
      </c>
      <c r="I91" s="99">
        <v>4.9000000000000004</v>
      </c>
      <c r="J91" s="99" t="str">
        <f>IF(JuecesPanel&gt;=6,"",IF((JuecesPanel+JuecesCalc)&lt;6,"",IF(COUNT(E91:I91)&gt;0,AVERAGE(E91:I91),"")))</f>
        <v/>
      </c>
      <c r="K91" s="99" t="str">
        <f>IF(JuecesPanel&gt;=7,"",IF((JuecesPanel+JuecesCalc)&lt;7,"",IF(COUNT(E91:J91)&gt;0,AVERAGE(E91:J91),"")))</f>
        <v/>
      </c>
      <c r="L91" s="99">
        <f>IF(COUNT(E91:K91)&gt;4,MAX(E91:K91),"")</f>
        <v>4.9000000000000004</v>
      </c>
      <c r="M91" s="99">
        <f>IF(COUNT(E91:K91)&gt;4,MIN(E91:K91),"")</f>
        <v>4.2</v>
      </c>
      <c r="N91" s="110">
        <f>IF(COUNT(E91:K91)&gt;0,(SUM(E91:K91)-( SUM(L91:M91)  ))/(IF(COUNT(E91:K91)&gt;4,COUNT(E91:K91)-2,COUNT(E91:K91))),"")</f>
        <v>4.5333333333333341</v>
      </c>
      <c r="O91" s="140">
        <f>IF(COUNT(E91:K91)&gt;0,N91*Opcional2GD,"")</f>
        <v>8.1600000000000019</v>
      </c>
      <c r="P91" s="146"/>
      <c r="Q91" s="143"/>
      <c r="R91" s="111"/>
    </row>
    <row r="92" spans="1:18" x14ac:dyDescent="0.3">
      <c r="A92" s="96">
        <v>22</v>
      </c>
      <c r="B92" s="104" t="s">
        <v>155</v>
      </c>
      <c r="C92" s="103" t="s">
        <v>121</v>
      </c>
      <c r="D92" s="89">
        <f>Obligatoria1Cod</f>
        <v>106</v>
      </c>
      <c r="E92" s="112">
        <v>4.5</v>
      </c>
      <c r="F92" s="98">
        <v>4.5</v>
      </c>
      <c r="G92" s="98">
        <v>4.4000000000000004</v>
      </c>
      <c r="H92" s="98">
        <v>5.2</v>
      </c>
      <c r="I92" s="98">
        <v>4.5</v>
      </c>
      <c r="J92" s="98" t="str">
        <f>IF(JuecesPanel&gt;=6,"",IF((JuecesPanel+JuecesCalc)&lt;6,"",IF(COUNT(E92:I92)&gt;0,AVERAGE(E92:I92),"")))</f>
        <v/>
      </c>
      <c r="K92" s="98" t="str">
        <f>IF(JuecesPanel&gt;=7,"",IF((JuecesPanel+JuecesCalc)&lt;7,"",IF(COUNT(E92:J92)&gt;0,AVERAGE(E92:J92),"")))</f>
        <v/>
      </c>
      <c r="L92" s="97">
        <f>IF(COUNT(E92:K92)&gt;4,MAX(E92:K92),"")</f>
        <v>5.2</v>
      </c>
      <c r="M92" s="97">
        <f>IF(COUNT(E92:K92)&gt;4,MIN(E92:K92),"")</f>
        <v>4.4000000000000004</v>
      </c>
      <c r="N92" s="105">
        <f>IF(COUNT(E92:K92)&gt;0,(SUM(E92:K92)-( SUM(L92:M92)  ))/(IF(COUNT(E92:K92)&gt;4,COUNT(E92:K92)-2,COUNT(E92:K92))),"")</f>
        <v>4.5</v>
      </c>
      <c r="O92" s="138">
        <f>IF(COUNT(E92:K92)&gt;0,N92*Obligatoria1GD,"")</f>
        <v>7.2</v>
      </c>
      <c r="P92" s="144"/>
      <c r="Q92" s="141">
        <f>IF(COUNT(E92:K95)&gt;0,SUM(O92:O95),"")</f>
        <v>33.553333333333335</v>
      </c>
      <c r="R92" s="106">
        <f>IF(COUNT(E92:K95)&gt;0,((Q92/TotalGD)*10)-SUM(P92:P95),0)</f>
        <v>46.601851851851855</v>
      </c>
    </row>
    <row r="93" spans="1:18" x14ac:dyDescent="0.3">
      <c r="A93" s="87"/>
      <c r="B93" s="86"/>
      <c r="C93" s="87"/>
      <c r="D93" s="89">
        <f>Obligatoria2Cod</f>
        <v>301</v>
      </c>
      <c r="E93" s="101">
        <v>4.3</v>
      </c>
      <c r="F93" s="25">
        <v>4.3</v>
      </c>
      <c r="G93" s="25">
        <v>4.3</v>
      </c>
      <c r="H93" s="25">
        <v>4.5999999999999996</v>
      </c>
      <c r="I93" s="25">
        <v>4.9000000000000004</v>
      </c>
      <c r="J93" s="25" t="str">
        <f>IF(JuecesPanel&gt;=6,"",IF((JuecesPanel+JuecesCalc)&lt;6,"",IF(COUNT(E93:I93)&gt;0,AVERAGE(E93:I93),"")))</f>
        <v/>
      </c>
      <c r="K93" s="25" t="str">
        <f>IF(JuecesPanel&gt;=7,"",IF((JuecesPanel+JuecesCalc)&lt;7,"",IF(COUNT(E93:J93)&gt;0,AVERAGE(E93:J93),"")))</f>
        <v/>
      </c>
      <c r="L93" s="25">
        <f>IF(COUNT(E93:K93)&gt;4,MAX(E93:K93),"")</f>
        <v>4.9000000000000004</v>
      </c>
      <c r="M93" s="25">
        <f>IF(COUNT(E93:K93)&gt;4,MIN(E93:K93),"")</f>
        <v>4.3</v>
      </c>
      <c r="N93" s="88">
        <f>IF(COUNT(E93:K93)&gt;0,(SUM(E93:K93)-( SUM(L93:M93)  ))/(IF(COUNT(E93:K93)&gt;4,COUNT(E93:K93)-2,COUNT(E93:K93))),"")</f>
        <v>4.3999999999999995</v>
      </c>
      <c r="O93" s="139">
        <f>IF(COUNT(E93:K93)&gt;0,N93*Obligatoria2GD,"")</f>
        <v>8.36</v>
      </c>
      <c r="P93" s="145"/>
      <c r="Q93" s="142"/>
      <c r="R93" s="107"/>
    </row>
    <row r="94" spans="1:18" x14ac:dyDescent="0.3">
      <c r="A94" s="87"/>
      <c r="B94" s="86"/>
      <c r="C94" s="87"/>
      <c r="D94" s="89">
        <f>Opcional1Cod</f>
        <v>420</v>
      </c>
      <c r="E94" s="113">
        <v>4.5</v>
      </c>
      <c r="F94" s="26">
        <v>4.8</v>
      </c>
      <c r="G94" s="26">
        <v>4.5</v>
      </c>
      <c r="H94" s="26">
        <v>5</v>
      </c>
      <c r="I94" s="26">
        <v>4.9000000000000004</v>
      </c>
      <c r="J94" s="26" t="str">
        <f>IF(JuecesPanel&gt;=6,"",IF((JuecesPanel+JuecesCalc)&lt;6,"",IF(COUNT(E94:I94)&gt;0,AVERAGE(E94:I94),"")))</f>
        <v/>
      </c>
      <c r="K94" s="26" t="str">
        <f>IF(JuecesPanel&gt;=7,"",IF((JuecesPanel+JuecesCalc)&lt;7,"",IF(COUNT(E94:J94)&gt;0,AVERAGE(E94:J94),"")))</f>
        <v/>
      </c>
      <c r="L94" s="25">
        <f>IF(COUNT(E94:K94)&gt;4,MAX(E94:K94),"")</f>
        <v>5</v>
      </c>
      <c r="M94" s="25">
        <f>IF(COUNT(E94:K94)&gt;4,MIN(E94:K94),"")</f>
        <v>4.5</v>
      </c>
      <c r="N94" s="88">
        <f>IF(COUNT(E94:K94)&gt;0,(SUM(E94:K94)-( SUM(L94:M94)  ))/(IF(COUNT(E94:K94)&gt;4,COUNT(E94:K94)-2,COUNT(E94:K94))),"")</f>
        <v>4.7333333333333343</v>
      </c>
      <c r="O94" s="139">
        <f>IF(COUNT(E94:K94)&gt;0,N94*Opcional1GD,"")</f>
        <v>8.9933333333333341</v>
      </c>
      <c r="P94" s="145"/>
      <c r="Q94" s="142"/>
      <c r="R94" s="107"/>
    </row>
    <row r="95" spans="1:18" x14ac:dyDescent="0.3">
      <c r="A95" s="108"/>
      <c r="B95" s="109"/>
      <c r="C95" s="108"/>
      <c r="D95" s="89">
        <f>Opcional2Cod</f>
        <v>327</v>
      </c>
      <c r="E95" s="102">
        <v>4.7</v>
      </c>
      <c r="F95" s="99">
        <v>5</v>
      </c>
      <c r="G95" s="99">
        <v>4.2</v>
      </c>
      <c r="H95" s="99">
        <v>5.3</v>
      </c>
      <c r="I95" s="99">
        <v>5.8</v>
      </c>
      <c r="J95" s="99" t="str">
        <f>IF(JuecesPanel&gt;=6,"",IF((JuecesPanel+JuecesCalc)&lt;6,"",IF(COUNT(E95:I95)&gt;0,AVERAGE(E95:I95),"")))</f>
        <v/>
      </c>
      <c r="K95" s="99" t="str">
        <f>IF(JuecesPanel&gt;=7,"",IF((JuecesPanel+JuecesCalc)&lt;7,"",IF(COUNT(E95:J95)&gt;0,AVERAGE(E95:J95),"")))</f>
        <v/>
      </c>
      <c r="L95" s="99">
        <f>IF(COUNT(E95:K95)&gt;4,MAX(E95:K95),"")</f>
        <v>5.8</v>
      </c>
      <c r="M95" s="99">
        <f>IF(COUNT(E95:K95)&gt;4,MIN(E95:K95),"")</f>
        <v>4.2</v>
      </c>
      <c r="N95" s="110">
        <f>IF(COUNT(E95:K95)&gt;0,(SUM(E95:K95)-( SUM(L95:M95)  ))/(IF(COUNT(E95:K95)&gt;4,COUNT(E95:K95)-2,COUNT(E95:K95))),"")</f>
        <v>5</v>
      </c>
      <c r="O95" s="140">
        <f>IF(COUNT(E95:K95)&gt;0,N95*Opcional2GD,"")</f>
        <v>9</v>
      </c>
      <c r="P95" s="146"/>
      <c r="Q95" s="143"/>
      <c r="R95" s="111"/>
    </row>
    <row r="96" spans="1:18" x14ac:dyDescent="0.3">
      <c r="A96" s="96">
        <v>23</v>
      </c>
      <c r="B96" s="104" t="s">
        <v>125</v>
      </c>
      <c r="C96" s="103" t="s">
        <v>114</v>
      </c>
      <c r="D96" s="89">
        <f>Obligatoria1Cod</f>
        <v>106</v>
      </c>
      <c r="E96" s="112">
        <v>4</v>
      </c>
      <c r="F96" s="98">
        <v>3.5</v>
      </c>
      <c r="G96" s="98">
        <v>3.8</v>
      </c>
      <c r="H96" s="98">
        <v>4.5999999999999996</v>
      </c>
      <c r="I96" s="98">
        <v>4.2</v>
      </c>
      <c r="J96" s="98" t="str">
        <f>IF(JuecesPanel&gt;=6,"",IF((JuecesPanel+JuecesCalc)&lt;6,"",IF(COUNT(E96:I96)&gt;0,AVERAGE(E96:I96),"")))</f>
        <v/>
      </c>
      <c r="K96" s="98" t="str">
        <f>IF(JuecesPanel&gt;=7,"",IF((JuecesPanel+JuecesCalc)&lt;7,"",IF(COUNT(E96:J96)&gt;0,AVERAGE(E96:J96),"")))</f>
        <v/>
      </c>
      <c r="L96" s="97">
        <f>IF(COUNT(E96:K96)&gt;4,MAX(E96:K96),"")</f>
        <v>4.5999999999999996</v>
      </c>
      <c r="M96" s="97">
        <f>IF(COUNT(E96:K96)&gt;4,MIN(E96:K96),"")</f>
        <v>3.5</v>
      </c>
      <c r="N96" s="105">
        <f>IF(COUNT(E96:K96)&gt;0,(SUM(E96:K96)-( SUM(L96:M96)  ))/(IF(COUNT(E96:K96)&gt;4,COUNT(E96:K96)-2,COUNT(E96:K96))),"")</f>
        <v>4.0000000000000009</v>
      </c>
      <c r="O96" s="138">
        <f>IF(COUNT(E96:K96)&gt;0,N96*Obligatoria1GD,"")</f>
        <v>6.4000000000000021</v>
      </c>
      <c r="P96" s="144"/>
      <c r="Q96" s="141">
        <f>IF(COUNT(E96:K99)&gt;0,SUM(O96:O99),"")</f>
        <v>30.29666666666667</v>
      </c>
      <c r="R96" s="106">
        <f>IF(COUNT(E96:K99)&gt;0,((Q96/TotalGD)*10)-SUM(P96:P99),0)</f>
        <v>42.078703703703709</v>
      </c>
    </row>
    <row r="97" spans="1:18" x14ac:dyDescent="0.3">
      <c r="A97" s="87"/>
      <c r="B97" s="86"/>
      <c r="C97" s="87"/>
      <c r="D97" s="89">
        <f>Obligatoria2Cod</f>
        <v>301</v>
      </c>
      <c r="E97" s="101">
        <v>4.2</v>
      </c>
      <c r="F97" s="25">
        <v>4.0999999999999996</v>
      </c>
      <c r="G97" s="25">
        <v>4.4000000000000004</v>
      </c>
      <c r="H97" s="25">
        <v>4</v>
      </c>
      <c r="I97" s="25">
        <v>5</v>
      </c>
      <c r="J97" s="25" t="str">
        <f>IF(JuecesPanel&gt;=6,"",IF((JuecesPanel+JuecesCalc)&lt;6,"",IF(COUNT(E97:I97)&gt;0,AVERAGE(E97:I97),"")))</f>
        <v/>
      </c>
      <c r="K97" s="25" t="str">
        <f>IF(JuecesPanel&gt;=7,"",IF((JuecesPanel+JuecesCalc)&lt;7,"",IF(COUNT(E97:J97)&gt;0,AVERAGE(E97:J97),"")))</f>
        <v/>
      </c>
      <c r="L97" s="25">
        <f>IF(COUNT(E97:K97)&gt;4,MAX(E97:K97),"")</f>
        <v>5</v>
      </c>
      <c r="M97" s="25">
        <f>IF(COUNT(E97:K97)&gt;4,MIN(E97:K97),"")</f>
        <v>4</v>
      </c>
      <c r="N97" s="88">
        <f>IF(COUNT(E97:K97)&gt;0,(SUM(E97:K97)-( SUM(L97:M97)  ))/(IF(COUNT(E97:K97)&gt;4,COUNT(E97:K97)-2,COUNT(E97:K97))),"")</f>
        <v>4.2333333333333343</v>
      </c>
      <c r="O97" s="139">
        <f>IF(COUNT(E97:K97)&gt;0,N97*Obligatoria2GD,"")</f>
        <v>8.0433333333333348</v>
      </c>
      <c r="P97" s="145"/>
      <c r="Q97" s="142"/>
      <c r="R97" s="107"/>
    </row>
    <row r="98" spans="1:18" x14ac:dyDescent="0.3">
      <c r="A98" s="87"/>
      <c r="B98" s="86"/>
      <c r="C98" s="87"/>
      <c r="D98" s="89">
        <f>Opcional1Cod</f>
        <v>420</v>
      </c>
      <c r="E98" s="113">
        <v>4.3</v>
      </c>
      <c r="F98" s="26">
        <v>4.5</v>
      </c>
      <c r="G98" s="26">
        <v>4.0999999999999996</v>
      </c>
      <c r="H98" s="26">
        <v>4.2</v>
      </c>
      <c r="I98" s="26">
        <v>4.5</v>
      </c>
      <c r="J98" s="26" t="str">
        <f>IF(JuecesPanel&gt;=6,"",IF((JuecesPanel+JuecesCalc)&lt;6,"",IF(COUNT(E98:I98)&gt;0,AVERAGE(E98:I98),"")))</f>
        <v/>
      </c>
      <c r="K98" s="26" t="str">
        <f>IF(JuecesPanel&gt;=7,"",IF((JuecesPanel+JuecesCalc)&lt;7,"",IF(COUNT(E98:J98)&gt;0,AVERAGE(E98:J98),"")))</f>
        <v/>
      </c>
      <c r="L98" s="25">
        <f>IF(COUNT(E98:K98)&gt;4,MAX(E98:K98),"")</f>
        <v>4.5</v>
      </c>
      <c r="M98" s="25">
        <f>IF(COUNT(E98:K98)&gt;4,MIN(E98:K98),"")</f>
        <v>4.0999999999999996</v>
      </c>
      <c r="N98" s="88">
        <f>IF(COUNT(E98:K98)&gt;0,(SUM(E98:K98)-( SUM(L98:M98)  ))/(IF(COUNT(E98:K98)&gt;4,COUNT(E98:K98)-2,COUNT(E98:K98))),"")</f>
        <v>4.3333333333333339</v>
      </c>
      <c r="O98" s="139">
        <f>IF(COUNT(E98:K98)&gt;0,N98*Opcional1GD,"")</f>
        <v>8.2333333333333343</v>
      </c>
      <c r="P98" s="145"/>
      <c r="Q98" s="142"/>
      <c r="R98" s="107"/>
    </row>
    <row r="99" spans="1:18" x14ac:dyDescent="0.3">
      <c r="A99" s="108"/>
      <c r="B99" s="109"/>
      <c r="C99" s="108"/>
      <c r="D99" s="89">
        <f>Opcional2Cod</f>
        <v>327</v>
      </c>
      <c r="E99" s="102">
        <v>4.0999999999999996</v>
      </c>
      <c r="F99" s="99">
        <v>4.2</v>
      </c>
      <c r="G99" s="99">
        <v>4.3</v>
      </c>
      <c r="H99" s="99">
        <v>4.2</v>
      </c>
      <c r="I99" s="99">
        <v>4.8</v>
      </c>
      <c r="J99" s="99" t="str">
        <f>IF(JuecesPanel&gt;=6,"",IF((JuecesPanel+JuecesCalc)&lt;6,"",IF(COUNT(E99:I99)&gt;0,AVERAGE(E99:I99),"")))</f>
        <v/>
      </c>
      <c r="K99" s="99" t="str">
        <f>IF(JuecesPanel&gt;=7,"",IF((JuecesPanel+JuecesCalc)&lt;7,"",IF(COUNT(E99:J99)&gt;0,AVERAGE(E99:J99),"")))</f>
        <v/>
      </c>
      <c r="L99" s="99">
        <f>IF(COUNT(E99:K99)&gt;4,MAX(E99:K99),"")</f>
        <v>4.8</v>
      </c>
      <c r="M99" s="99">
        <f>IF(COUNT(E99:K99)&gt;4,MIN(E99:K99),"")</f>
        <v>4.0999999999999996</v>
      </c>
      <c r="N99" s="110">
        <f>IF(COUNT(E99:K99)&gt;0,(SUM(E99:K99)-( SUM(L99:M99)  ))/(IF(COUNT(E99:K99)&gt;4,COUNT(E99:K99)-2,COUNT(E99:K99))),"")</f>
        <v>4.2333333333333343</v>
      </c>
      <c r="O99" s="140">
        <f>IF(COUNT(E99:K99)&gt;0,N99*Opcional2GD,"")</f>
        <v>7.6200000000000019</v>
      </c>
      <c r="P99" s="146"/>
      <c r="Q99" s="143"/>
      <c r="R99" s="111"/>
    </row>
    <row r="100" spans="1:18" x14ac:dyDescent="0.3">
      <c r="A100" s="96">
        <v>24</v>
      </c>
      <c r="B100" s="104" t="s">
        <v>156</v>
      </c>
      <c r="C100" s="103" t="s">
        <v>121</v>
      </c>
      <c r="D100" s="89">
        <f>Obligatoria1Cod</f>
        <v>106</v>
      </c>
      <c r="E100" s="112">
        <v>4.8</v>
      </c>
      <c r="F100" s="98">
        <v>5</v>
      </c>
      <c r="G100" s="98">
        <v>4.3</v>
      </c>
      <c r="H100" s="98">
        <v>5.3</v>
      </c>
      <c r="I100" s="98">
        <v>5</v>
      </c>
      <c r="J100" s="98" t="str">
        <f>IF(JuecesPanel&gt;=6,"",IF((JuecesPanel+JuecesCalc)&lt;6,"",IF(COUNT(E100:I100)&gt;0,AVERAGE(E100:I100),"")))</f>
        <v/>
      </c>
      <c r="K100" s="98" t="str">
        <f>IF(JuecesPanel&gt;=7,"",IF((JuecesPanel+JuecesCalc)&lt;7,"",IF(COUNT(E100:J100)&gt;0,AVERAGE(E100:J100),"")))</f>
        <v/>
      </c>
      <c r="L100" s="97">
        <f>IF(COUNT(E100:K100)&gt;4,MAX(E100:K100),"")</f>
        <v>5.3</v>
      </c>
      <c r="M100" s="97">
        <f>IF(COUNT(E100:K100)&gt;4,MIN(E100:K100),"")</f>
        <v>4.3</v>
      </c>
      <c r="N100" s="105">
        <f>IF(COUNT(E100:K100)&gt;0,(SUM(E100:K100)-( SUM(L100:M100)  ))/(IF(COUNT(E100:K100)&gt;4,COUNT(E100:K100)-2,COUNT(E100:K100))),"")</f>
        <v>4.9333333333333345</v>
      </c>
      <c r="O100" s="138">
        <f>IF(COUNT(E100:K100)&gt;0,N100*Obligatoria1GD,"")</f>
        <v>7.8933333333333353</v>
      </c>
      <c r="P100" s="144"/>
      <c r="Q100" s="141">
        <f>IF(COUNT(E100:K103)&gt;0,SUM(O100:O103),"")</f>
        <v>35.19</v>
      </c>
      <c r="R100" s="106">
        <f>IF(COUNT(E100:K103)&gt;0,((Q100/TotalGD)*10)-SUM(P100:P103),0)</f>
        <v>48.874999999999993</v>
      </c>
    </row>
    <row r="101" spans="1:18" x14ac:dyDescent="0.3">
      <c r="A101" s="87"/>
      <c r="B101" s="86"/>
      <c r="C101" s="87"/>
      <c r="D101" s="89">
        <f>Obligatoria2Cod</f>
        <v>301</v>
      </c>
      <c r="E101" s="101">
        <v>4.7</v>
      </c>
      <c r="F101" s="25">
        <v>4.4000000000000004</v>
      </c>
      <c r="G101" s="25">
        <v>5.2</v>
      </c>
      <c r="H101" s="25">
        <v>5</v>
      </c>
      <c r="I101" s="25">
        <v>5.0999999999999996</v>
      </c>
      <c r="J101" s="25" t="str">
        <f>IF(JuecesPanel&gt;=6,"",IF((JuecesPanel+JuecesCalc)&lt;6,"",IF(COUNT(E101:I101)&gt;0,AVERAGE(E101:I101),"")))</f>
        <v/>
      </c>
      <c r="K101" s="25" t="str">
        <f>IF(JuecesPanel&gt;=7,"",IF((JuecesPanel+JuecesCalc)&lt;7,"",IF(COUNT(E101:J101)&gt;0,AVERAGE(E101:J101),"")))</f>
        <v/>
      </c>
      <c r="L101" s="25">
        <f>IF(COUNT(E101:K101)&gt;4,MAX(E101:K101),"")</f>
        <v>5.2</v>
      </c>
      <c r="M101" s="25">
        <f>IF(COUNT(E101:K101)&gt;4,MIN(E101:K101),"")</f>
        <v>4.4000000000000004</v>
      </c>
      <c r="N101" s="88">
        <f>IF(COUNT(E101:K101)&gt;0,(SUM(E101:K101)-( SUM(L101:M101)  ))/(IF(COUNT(E101:K101)&gt;4,COUNT(E101:K101)-2,COUNT(E101:K101))),"")</f>
        <v>4.9333333333333327</v>
      </c>
      <c r="O101" s="139">
        <f>IF(COUNT(E101:K101)&gt;0,N101*Obligatoria2GD,"")</f>
        <v>9.3733333333333313</v>
      </c>
      <c r="P101" s="145"/>
      <c r="Q101" s="142"/>
      <c r="R101" s="107"/>
    </row>
    <row r="102" spans="1:18" x14ac:dyDescent="0.3">
      <c r="A102" s="87"/>
      <c r="B102" s="86"/>
      <c r="C102" s="87"/>
      <c r="D102" s="89">
        <f>Opcional1Cod</f>
        <v>420</v>
      </c>
      <c r="E102" s="113">
        <v>4</v>
      </c>
      <c r="F102" s="26">
        <v>4.3</v>
      </c>
      <c r="G102" s="26">
        <v>4.7</v>
      </c>
      <c r="H102" s="26">
        <v>5.0999999999999996</v>
      </c>
      <c r="I102" s="26">
        <v>4.9000000000000004</v>
      </c>
      <c r="J102" s="26" t="str">
        <f>IF(JuecesPanel&gt;=6,"",IF((JuecesPanel+JuecesCalc)&lt;6,"",IF(COUNT(E102:I102)&gt;0,AVERAGE(E102:I102),"")))</f>
        <v/>
      </c>
      <c r="K102" s="26" t="str">
        <f>IF(JuecesPanel&gt;=7,"",IF((JuecesPanel+JuecesCalc)&lt;7,"",IF(COUNT(E102:J102)&gt;0,AVERAGE(E102:J102),"")))</f>
        <v/>
      </c>
      <c r="L102" s="25">
        <f>IF(COUNT(E102:K102)&gt;4,MAX(E102:K102),"")</f>
        <v>5.0999999999999996</v>
      </c>
      <c r="M102" s="25">
        <f>IF(COUNT(E102:K102)&gt;4,MIN(E102:K102),"")</f>
        <v>4</v>
      </c>
      <c r="N102" s="88">
        <f>IF(COUNT(E102:K102)&gt;0,(SUM(E102:K102)-( SUM(L102:M102)  ))/(IF(COUNT(E102:K102)&gt;4,COUNT(E102:K102)-2,COUNT(E102:K102))),"")</f>
        <v>4.6333333333333337</v>
      </c>
      <c r="O102" s="139">
        <f>IF(COUNT(E102:K102)&gt;0,N102*Opcional1GD,"")</f>
        <v>8.8033333333333346</v>
      </c>
      <c r="P102" s="145"/>
      <c r="Q102" s="142"/>
      <c r="R102" s="107"/>
    </row>
    <row r="103" spans="1:18" x14ac:dyDescent="0.3">
      <c r="A103" s="108"/>
      <c r="B103" s="109"/>
      <c r="C103" s="108"/>
      <c r="D103" s="89">
        <f>Opcional2Cod</f>
        <v>327</v>
      </c>
      <c r="E103" s="102">
        <v>4.9000000000000004</v>
      </c>
      <c r="F103" s="99">
        <v>4.7</v>
      </c>
      <c r="G103" s="99">
        <v>5.2</v>
      </c>
      <c r="H103" s="99">
        <v>5.2</v>
      </c>
      <c r="I103" s="99">
        <v>5.0999999999999996</v>
      </c>
      <c r="J103" s="99" t="str">
        <f>IF(JuecesPanel&gt;=6,"",IF((JuecesPanel+JuecesCalc)&lt;6,"",IF(COUNT(E103:I103)&gt;0,AVERAGE(E103:I103),"")))</f>
        <v/>
      </c>
      <c r="K103" s="99" t="str">
        <f>IF(JuecesPanel&gt;=7,"",IF((JuecesPanel+JuecesCalc)&lt;7,"",IF(COUNT(E103:J103)&gt;0,AVERAGE(E103:J103),"")))</f>
        <v/>
      </c>
      <c r="L103" s="99">
        <f>IF(COUNT(E103:K103)&gt;4,MAX(E103:K103),"")</f>
        <v>5.2</v>
      </c>
      <c r="M103" s="99">
        <f>IF(COUNT(E103:K103)&gt;4,MIN(E103:K103),"")</f>
        <v>4.7</v>
      </c>
      <c r="N103" s="110">
        <f>IF(COUNT(E103:K103)&gt;0,(SUM(E103:K103)-( SUM(L103:M103)  ))/(IF(COUNT(E103:K103)&gt;4,COUNT(E103:K103)-2,COUNT(E103:K103))),"")</f>
        <v>5.0666666666666673</v>
      </c>
      <c r="O103" s="140">
        <f>IF(COUNT(E103:K103)&gt;0,N103*Opcional2GD,"")</f>
        <v>9.120000000000001</v>
      </c>
      <c r="P103" s="146"/>
      <c r="Q103" s="143"/>
      <c r="R103" s="111"/>
    </row>
    <row r="104" spans="1:18" x14ac:dyDescent="0.3">
      <c r="A104" s="96">
        <v>25</v>
      </c>
      <c r="B104" s="104" t="s">
        <v>127</v>
      </c>
      <c r="C104" s="103" t="s">
        <v>123</v>
      </c>
      <c r="D104" s="89">
        <f>Obligatoria1Cod</f>
        <v>106</v>
      </c>
      <c r="E104" s="112">
        <v>5.0999999999999996</v>
      </c>
      <c r="F104" s="98">
        <v>5.0999999999999996</v>
      </c>
      <c r="G104" s="98">
        <v>5.3</v>
      </c>
      <c r="H104" s="98">
        <v>5</v>
      </c>
      <c r="I104" s="98">
        <v>4.5</v>
      </c>
      <c r="J104" s="98" t="str">
        <f>IF(JuecesPanel&gt;=6,"",IF((JuecesPanel+JuecesCalc)&lt;6,"",IF(COUNT(E104:I104)&gt;0,AVERAGE(E104:I104),"")))</f>
        <v/>
      </c>
      <c r="K104" s="98" t="str">
        <f>IF(JuecesPanel&gt;=7,"",IF((JuecesPanel+JuecesCalc)&lt;7,"",IF(COUNT(E104:J104)&gt;0,AVERAGE(E104:J104),"")))</f>
        <v/>
      </c>
      <c r="L104" s="97">
        <f>IF(COUNT(E104:K104)&gt;4,MAX(E104:K104),"")</f>
        <v>5.3</v>
      </c>
      <c r="M104" s="97">
        <f>IF(COUNT(E104:K104)&gt;4,MIN(E104:K104),"")</f>
        <v>4.5</v>
      </c>
      <c r="N104" s="105">
        <f>IF(COUNT(E104:K104)&gt;0,(SUM(E104:K104)-( SUM(L104:M104)  ))/(IF(COUNT(E104:K104)&gt;4,COUNT(E104:K104)-2,COUNT(E104:K104))),"")</f>
        <v>5.0666666666666664</v>
      </c>
      <c r="O104" s="138">
        <f>IF(COUNT(E104:K104)&gt;0,N104*Obligatoria1GD,"")</f>
        <v>8.1066666666666674</v>
      </c>
      <c r="P104" s="144"/>
      <c r="Q104" s="141">
        <f>IF(COUNT(E104:K107)&gt;0,SUM(O104:O107),"")</f>
        <v>36.096666666666671</v>
      </c>
      <c r="R104" s="106">
        <f>IF(COUNT(E104:K107)&gt;0,((Q104/TotalGD)*10)-SUM(P104:P107),0)</f>
        <v>50.134259259259267</v>
      </c>
    </row>
    <row r="105" spans="1:18" x14ac:dyDescent="0.3">
      <c r="A105" s="87"/>
      <c r="B105" s="86"/>
      <c r="C105" s="87"/>
      <c r="D105" s="89">
        <f>Obligatoria2Cod</f>
        <v>301</v>
      </c>
      <c r="E105" s="101">
        <v>4.5999999999999996</v>
      </c>
      <c r="F105" s="25">
        <v>4.3</v>
      </c>
      <c r="G105" s="25">
        <v>5.4</v>
      </c>
      <c r="H105" s="25">
        <v>4.9000000000000004</v>
      </c>
      <c r="I105" s="25">
        <v>5.3</v>
      </c>
      <c r="J105" s="25" t="str">
        <f>IF(JuecesPanel&gt;=6,"",IF((JuecesPanel+JuecesCalc)&lt;6,"",IF(COUNT(E105:I105)&gt;0,AVERAGE(E105:I105),"")))</f>
        <v/>
      </c>
      <c r="K105" s="25" t="str">
        <f>IF(JuecesPanel&gt;=7,"",IF((JuecesPanel+JuecesCalc)&lt;7,"",IF(COUNT(E105:J105)&gt;0,AVERAGE(E105:J105),"")))</f>
        <v/>
      </c>
      <c r="L105" s="25">
        <f>IF(COUNT(E105:K105)&gt;4,MAX(E105:K105),"")</f>
        <v>5.4</v>
      </c>
      <c r="M105" s="25">
        <f>IF(COUNT(E105:K105)&gt;4,MIN(E105:K105),"")</f>
        <v>4.3</v>
      </c>
      <c r="N105" s="88">
        <f>IF(COUNT(E105:K105)&gt;0,(SUM(E105:K105)-( SUM(L105:M105)  ))/(IF(COUNT(E105:K105)&gt;4,COUNT(E105:K105)-2,COUNT(E105:K105))),"")</f>
        <v>4.9333333333333336</v>
      </c>
      <c r="O105" s="139">
        <f>IF(COUNT(E105:K105)&gt;0,N105*Obligatoria2GD,"")</f>
        <v>9.3733333333333331</v>
      </c>
      <c r="P105" s="145"/>
      <c r="Q105" s="142"/>
      <c r="R105" s="107"/>
    </row>
    <row r="106" spans="1:18" x14ac:dyDescent="0.3">
      <c r="A106" s="87"/>
      <c r="B106" s="86"/>
      <c r="C106" s="87"/>
      <c r="D106" s="89">
        <f>Opcional1Cod</f>
        <v>420</v>
      </c>
      <c r="E106" s="113">
        <v>4.5999999999999996</v>
      </c>
      <c r="F106" s="26">
        <v>5</v>
      </c>
      <c r="G106" s="26">
        <v>4.9000000000000004</v>
      </c>
      <c r="H106" s="26">
        <v>5.3</v>
      </c>
      <c r="I106" s="26">
        <v>5</v>
      </c>
      <c r="J106" s="26" t="str">
        <f>IF(JuecesPanel&gt;=6,"",IF((JuecesPanel+JuecesCalc)&lt;6,"",IF(COUNT(E106:I106)&gt;0,AVERAGE(E106:I106),"")))</f>
        <v/>
      </c>
      <c r="K106" s="26" t="str">
        <f>IF(JuecesPanel&gt;=7,"",IF((JuecesPanel+JuecesCalc)&lt;7,"",IF(COUNT(E106:J106)&gt;0,AVERAGE(E106:J106),"")))</f>
        <v/>
      </c>
      <c r="L106" s="25">
        <f>IF(COUNT(E106:K106)&gt;4,MAX(E106:K106),"")</f>
        <v>5.3</v>
      </c>
      <c r="M106" s="25">
        <f>IF(COUNT(E106:K106)&gt;4,MIN(E106:K106),"")</f>
        <v>4.5999999999999996</v>
      </c>
      <c r="N106" s="88">
        <f>IF(COUNT(E106:K106)&gt;0,(SUM(E106:K106)-( SUM(L106:M106)  ))/(IF(COUNT(E106:K106)&gt;4,COUNT(E106:K106)-2,COUNT(E106:K106))),"")</f>
        <v>4.9666666666666677</v>
      </c>
      <c r="O106" s="139">
        <f>IF(COUNT(E106:K106)&gt;0,N106*Opcional1GD,"")</f>
        <v>9.4366666666666674</v>
      </c>
      <c r="P106" s="145"/>
      <c r="Q106" s="142"/>
      <c r="R106" s="107"/>
    </row>
    <row r="107" spans="1:18" x14ac:dyDescent="0.3">
      <c r="A107" s="108"/>
      <c r="B107" s="109"/>
      <c r="C107" s="108"/>
      <c r="D107" s="89">
        <f>Opcional2Cod</f>
        <v>327</v>
      </c>
      <c r="E107" s="102">
        <v>4.5999999999999996</v>
      </c>
      <c r="F107" s="99">
        <v>5.2</v>
      </c>
      <c r="G107" s="99">
        <v>5.0999999999999996</v>
      </c>
      <c r="H107" s="99">
        <v>5.3</v>
      </c>
      <c r="I107" s="99">
        <v>5</v>
      </c>
      <c r="J107" s="99" t="str">
        <f>IF(JuecesPanel&gt;=6,"",IF((JuecesPanel+JuecesCalc)&lt;6,"",IF(COUNT(E107:I107)&gt;0,AVERAGE(E107:I107),"")))</f>
        <v/>
      </c>
      <c r="K107" s="99" t="str">
        <f>IF(JuecesPanel&gt;=7,"",IF((JuecesPanel+JuecesCalc)&lt;7,"",IF(COUNT(E107:J107)&gt;0,AVERAGE(E107:J107),"")))</f>
        <v/>
      </c>
      <c r="L107" s="99">
        <f>IF(COUNT(E107:K107)&gt;4,MAX(E107:K107),"")</f>
        <v>5.3</v>
      </c>
      <c r="M107" s="99">
        <f>IF(COUNT(E107:K107)&gt;4,MIN(E107:K107),"")</f>
        <v>4.5999999999999996</v>
      </c>
      <c r="N107" s="110">
        <f>IF(COUNT(E107:K107)&gt;0,(SUM(E107:K107)-( SUM(L107:M107)  ))/(IF(COUNT(E107:K107)&gt;4,COUNT(E107:K107)-2,COUNT(E107:K107))),"")</f>
        <v>5.1000000000000005</v>
      </c>
      <c r="O107" s="140">
        <f>IF(COUNT(E107:K107)&gt;0,N107*Opcional2GD,"")</f>
        <v>9.1800000000000015</v>
      </c>
      <c r="P107" s="146"/>
      <c r="Q107" s="143"/>
      <c r="R107" s="111"/>
    </row>
    <row r="108" spans="1:18" x14ac:dyDescent="0.3">
      <c r="A108" s="96">
        <v>26</v>
      </c>
      <c r="B108" s="104" t="s">
        <v>157</v>
      </c>
      <c r="C108" s="103" t="s">
        <v>121</v>
      </c>
      <c r="D108" s="89">
        <f>Obligatoria1Cod</f>
        <v>106</v>
      </c>
      <c r="E108" s="112">
        <v>4.5999999999999996</v>
      </c>
      <c r="F108" s="98">
        <v>4.9000000000000004</v>
      </c>
      <c r="G108" s="98">
        <v>4.8</v>
      </c>
      <c r="H108" s="98">
        <v>5.0999999999999996</v>
      </c>
      <c r="I108" s="98">
        <v>4.5</v>
      </c>
      <c r="J108" s="98" t="str">
        <f>IF(JuecesPanel&gt;=6,"",IF((JuecesPanel+JuecesCalc)&lt;6,"",IF(COUNT(E108:I108)&gt;0,AVERAGE(E108:I108),"")))</f>
        <v/>
      </c>
      <c r="K108" s="98" t="str">
        <f>IF(JuecesPanel&gt;=7,"",IF((JuecesPanel+JuecesCalc)&lt;7,"",IF(COUNT(E108:J108)&gt;0,AVERAGE(E108:J108),"")))</f>
        <v/>
      </c>
      <c r="L108" s="97">
        <f>IF(COUNT(E108:K108)&gt;4,MAX(E108:K108),"")</f>
        <v>5.0999999999999996</v>
      </c>
      <c r="M108" s="97">
        <f>IF(COUNT(E108:K108)&gt;4,MIN(E108:K108),"")</f>
        <v>4.5</v>
      </c>
      <c r="N108" s="105">
        <f>IF(COUNT(E108:K108)&gt;0,(SUM(E108:K108)-( SUM(L108:M108)  ))/(IF(COUNT(E108:K108)&gt;4,COUNT(E108:K108)-2,COUNT(E108:K108))),"")</f>
        <v>4.7666666666666666</v>
      </c>
      <c r="O108" s="138">
        <f>IF(COUNT(E108:K108)&gt;0,N108*Obligatoria1GD,"")</f>
        <v>7.6266666666666669</v>
      </c>
      <c r="P108" s="144"/>
      <c r="Q108" s="141">
        <f>IF(COUNT(E108:K111)&gt;0,SUM(O108:O111),"")</f>
        <v>34.573333333333331</v>
      </c>
      <c r="R108" s="106">
        <f>IF(COUNT(E108:K111)&gt;0,((Q108/TotalGD)*10)-SUM(P108:P111),0)</f>
        <v>48.018518518518512</v>
      </c>
    </row>
    <row r="109" spans="1:18" x14ac:dyDescent="0.3">
      <c r="A109" s="87"/>
      <c r="B109" s="86"/>
      <c r="C109" s="87"/>
      <c r="D109" s="89">
        <f>Obligatoria2Cod</f>
        <v>301</v>
      </c>
      <c r="E109" s="101">
        <v>4.8</v>
      </c>
      <c r="F109" s="25">
        <v>4.5</v>
      </c>
      <c r="G109" s="25">
        <v>5.6</v>
      </c>
      <c r="H109" s="25">
        <v>4.8</v>
      </c>
      <c r="I109" s="25">
        <v>5</v>
      </c>
      <c r="J109" s="25" t="str">
        <f>IF(JuecesPanel&gt;=6,"",IF((JuecesPanel+JuecesCalc)&lt;6,"",IF(COUNT(E109:I109)&gt;0,AVERAGE(E109:I109),"")))</f>
        <v/>
      </c>
      <c r="K109" s="25" t="str">
        <f>IF(JuecesPanel&gt;=7,"",IF((JuecesPanel+JuecesCalc)&lt;7,"",IF(COUNT(E109:J109)&gt;0,AVERAGE(E109:J109),"")))</f>
        <v/>
      </c>
      <c r="L109" s="25">
        <f>IF(COUNT(E109:K109)&gt;4,MAX(E109:K109),"")</f>
        <v>5.6</v>
      </c>
      <c r="M109" s="25">
        <f>IF(COUNT(E109:K109)&gt;4,MIN(E109:K109),"")</f>
        <v>4.5</v>
      </c>
      <c r="N109" s="88">
        <f>IF(COUNT(E109:K109)&gt;0,(SUM(E109:K109)-( SUM(L109:M109)  ))/(IF(COUNT(E109:K109)&gt;4,COUNT(E109:K109)-2,COUNT(E109:K109))),"")</f>
        <v>4.8666666666666663</v>
      </c>
      <c r="O109" s="139">
        <f>IF(COUNT(E109:K109)&gt;0,N109*Obligatoria2GD,"")</f>
        <v>9.2466666666666661</v>
      </c>
      <c r="P109" s="145"/>
      <c r="Q109" s="142"/>
      <c r="R109" s="107"/>
    </row>
    <row r="110" spans="1:18" x14ac:dyDescent="0.3">
      <c r="A110" s="87"/>
      <c r="B110" s="86"/>
      <c r="C110" s="87"/>
      <c r="D110" s="89">
        <f>Opcional1Cod</f>
        <v>420</v>
      </c>
      <c r="E110" s="113">
        <v>5.0999999999999996</v>
      </c>
      <c r="F110" s="26">
        <v>4</v>
      </c>
      <c r="G110" s="26">
        <v>5</v>
      </c>
      <c r="H110" s="26">
        <v>4.7</v>
      </c>
      <c r="I110" s="26">
        <v>4.7</v>
      </c>
      <c r="J110" s="26" t="str">
        <f>IF(JuecesPanel&gt;=6,"",IF((JuecesPanel+JuecesCalc)&lt;6,"",IF(COUNT(E110:I110)&gt;0,AVERAGE(E110:I110),"")))</f>
        <v/>
      </c>
      <c r="K110" s="26" t="str">
        <f>IF(JuecesPanel&gt;=7,"",IF((JuecesPanel+JuecesCalc)&lt;7,"",IF(COUNT(E110:J110)&gt;0,AVERAGE(E110:J110),"")))</f>
        <v/>
      </c>
      <c r="L110" s="25">
        <f>IF(COUNT(E110:K110)&gt;4,MAX(E110:K110),"")</f>
        <v>5.0999999999999996</v>
      </c>
      <c r="M110" s="25">
        <f>IF(COUNT(E110:K110)&gt;4,MIN(E110:K110),"")</f>
        <v>4</v>
      </c>
      <c r="N110" s="88">
        <f>IF(COUNT(E110:K110)&gt;0,(SUM(E110:K110)-( SUM(L110:M110)  ))/(IF(COUNT(E110:K110)&gt;4,COUNT(E110:K110)-2,COUNT(E110:K110))),"")</f>
        <v>4.8</v>
      </c>
      <c r="O110" s="139">
        <f>IF(COUNT(E110:K110)&gt;0,N110*Opcional1GD,"")</f>
        <v>9.1199999999999992</v>
      </c>
      <c r="P110" s="145"/>
      <c r="Q110" s="142"/>
      <c r="R110" s="107"/>
    </row>
    <row r="111" spans="1:18" x14ac:dyDescent="0.3">
      <c r="A111" s="108"/>
      <c r="B111" s="109"/>
      <c r="C111" s="108"/>
      <c r="D111" s="89">
        <f>Opcional2Cod</f>
        <v>327</v>
      </c>
      <c r="E111" s="102">
        <v>4.4000000000000004</v>
      </c>
      <c r="F111" s="99">
        <v>4.5999999999999996</v>
      </c>
      <c r="G111" s="99">
        <v>4.9000000000000004</v>
      </c>
      <c r="H111" s="99">
        <v>4.8</v>
      </c>
      <c r="I111" s="99">
        <v>5.2</v>
      </c>
      <c r="J111" s="99" t="str">
        <f>IF(JuecesPanel&gt;=6,"",IF((JuecesPanel+JuecesCalc)&lt;6,"",IF(COUNT(E111:I111)&gt;0,AVERAGE(E111:I111),"")))</f>
        <v/>
      </c>
      <c r="K111" s="99" t="str">
        <f>IF(JuecesPanel&gt;=7,"",IF((JuecesPanel+JuecesCalc)&lt;7,"",IF(COUNT(E111:J111)&gt;0,AVERAGE(E111:J111),"")))</f>
        <v/>
      </c>
      <c r="L111" s="99">
        <f>IF(COUNT(E111:K111)&gt;4,MAX(E111:K111),"")</f>
        <v>5.2</v>
      </c>
      <c r="M111" s="99">
        <f>IF(COUNT(E111:K111)&gt;4,MIN(E111:K111),"")</f>
        <v>4.4000000000000004</v>
      </c>
      <c r="N111" s="110">
        <f>IF(COUNT(E111:K111)&gt;0,(SUM(E111:K111)-( SUM(L111:M111)  ))/(IF(COUNT(E111:K111)&gt;4,COUNT(E111:K111)-2,COUNT(E111:K111))),"")</f>
        <v>4.7666666666666657</v>
      </c>
      <c r="O111" s="140">
        <f>IF(COUNT(E111:K111)&gt;0,N111*Opcional2GD,"")</f>
        <v>8.5799999999999983</v>
      </c>
      <c r="P111" s="146"/>
      <c r="Q111" s="143"/>
      <c r="R111" s="111"/>
    </row>
    <row r="112" spans="1:18" x14ac:dyDescent="0.3">
      <c r="A112" s="96">
        <v>27</v>
      </c>
      <c r="B112" s="104" t="s">
        <v>126</v>
      </c>
      <c r="C112" s="103" t="s">
        <v>121</v>
      </c>
      <c r="D112" s="89">
        <f>Obligatoria1Cod</f>
        <v>106</v>
      </c>
      <c r="E112" s="112">
        <v>4.8</v>
      </c>
      <c r="F112" s="98">
        <v>4</v>
      </c>
      <c r="G112" s="98">
        <v>4.5999999999999996</v>
      </c>
      <c r="H112" s="98">
        <v>4.5999999999999996</v>
      </c>
      <c r="I112" s="98">
        <v>4.9000000000000004</v>
      </c>
      <c r="J112" s="98" t="str">
        <f>IF(JuecesPanel&gt;=6,"",IF((JuecesPanel+JuecesCalc)&lt;6,"",IF(COUNT(E112:I112)&gt;0,AVERAGE(E112:I112),"")))</f>
        <v/>
      </c>
      <c r="K112" s="98" t="str">
        <f>IF(JuecesPanel&gt;=7,"",IF((JuecesPanel+JuecesCalc)&lt;7,"",IF(COUNT(E112:J112)&gt;0,AVERAGE(E112:J112),"")))</f>
        <v/>
      </c>
      <c r="L112" s="97">
        <f>IF(COUNT(E112:K112)&gt;4,MAX(E112:K112),"")</f>
        <v>4.9000000000000004</v>
      </c>
      <c r="M112" s="97">
        <f>IF(COUNT(E112:K112)&gt;4,MIN(E112:K112),"")</f>
        <v>4</v>
      </c>
      <c r="N112" s="105">
        <f>IF(COUNT(E112:K112)&gt;0,(SUM(E112:K112)-( SUM(L112:M112)  ))/(IF(COUNT(E112:K112)&gt;4,COUNT(E112:K112)-2,COUNT(E112:K112))),"")</f>
        <v>4.6666666666666661</v>
      </c>
      <c r="O112" s="138">
        <f>IF(COUNT(E112:K112)&gt;0,N112*Obligatoria1GD,"")</f>
        <v>7.4666666666666659</v>
      </c>
      <c r="P112" s="144"/>
      <c r="Q112" s="141">
        <f>IF(COUNT(E112:K115)&gt;0,SUM(O112:O115),"")</f>
        <v>33.526666666666664</v>
      </c>
      <c r="R112" s="106">
        <f>IF(COUNT(E112:K115)&gt;0,((Q112/TotalGD)*10)-SUM(P112:P115),0)</f>
        <v>46.56481481481481</v>
      </c>
    </row>
    <row r="113" spans="1:18" x14ac:dyDescent="0.3">
      <c r="A113" s="87"/>
      <c r="B113" s="86"/>
      <c r="C113" s="87"/>
      <c r="D113" s="89">
        <f>Obligatoria2Cod</f>
        <v>301</v>
      </c>
      <c r="E113" s="101">
        <v>4.5</v>
      </c>
      <c r="F113" s="25">
        <v>4.2</v>
      </c>
      <c r="G113" s="25">
        <v>5</v>
      </c>
      <c r="H113" s="25">
        <v>5.2</v>
      </c>
      <c r="I113" s="25">
        <v>5</v>
      </c>
      <c r="J113" s="25" t="str">
        <f>IF(JuecesPanel&gt;=6,"",IF((JuecesPanel+JuecesCalc)&lt;6,"",IF(COUNT(E113:I113)&gt;0,AVERAGE(E113:I113),"")))</f>
        <v/>
      </c>
      <c r="K113" s="25" t="str">
        <f>IF(JuecesPanel&gt;=7,"",IF((JuecesPanel+JuecesCalc)&lt;7,"",IF(COUNT(E113:J113)&gt;0,AVERAGE(E113:J113),"")))</f>
        <v/>
      </c>
      <c r="L113" s="25">
        <f>IF(COUNT(E113:K113)&gt;4,MAX(E113:K113),"")</f>
        <v>5.2</v>
      </c>
      <c r="M113" s="25">
        <f>IF(COUNT(E113:K113)&gt;4,MIN(E113:K113),"")</f>
        <v>4.2</v>
      </c>
      <c r="N113" s="88">
        <f>IF(COUNT(E113:K113)&gt;0,(SUM(E113:K113)-( SUM(L113:M113)  ))/(IF(COUNT(E113:K113)&gt;4,COUNT(E113:K113)-2,COUNT(E113:K113))),"")</f>
        <v>4.833333333333333</v>
      </c>
      <c r="O113" s="139">
        <f>IF(COUNT(E113:K113)&gt;0,N113*Obligatoria2GD,"")</f>
        <v>9.1833333333333318</v>
      </c>
      <c r="P113" s="145"/>
      <c r="Q113" s="142"/>
      <c r="R113" s="107"/>
    </row>
    <row r="114" spans="1:18" x14ac:dyDescent="0.3">
      <c r="A114" s="87"/>
      <c r="B114" s="86"/>
      <c r="C114" s="87"/>
      <c r="D114" s="89">
        <f>Opcional1Cod</f>
        <v>420</v>
      </c>
      <c r="E114" s="113">
        <v>4.3</v>
      </c>
      <c r="F114" s="26">
        <v>3.8</v>
      </c>
      <c r="G114" s="26">
        <v>4.5</v>
      </c>
      <c r="H114" s="26">
        <v>4.5999999999999996</v>
      </c>
      <c r="I114" s="234">
        <f>AVERAGE(tblPlanilla[[#This Row],[1]:[4]])</f>
        <v>4.3</v>
      </c>
      <c r="J114" s="26" t="str">
        <f>IF(JuecesPanel&gt;=6,"",IF((JuecesPanel+JuecesCalc)&lt;6,"",IF(COUNT(E114:I114)&gt;0,AVERAGE(E114:I114),"")))</f>
        <v/>
      </c>
      <c r="K114" s="26" t="str">
        <f>IF(JuecesPanel&gt;=7,"",IF((JuecesPanel+JuecesCalc)&lt;7,"",IF(COUNT(E114:J114)&gt;0,AVERAGE(E114:J114),"")))</f>
        <v/>
      </c>
      <c r="L114" s="25">
        <f>IF(COUNT(E114:K114)&gt;4,MAX(E114:K114),"")</f>
        <v>4.5999999999999996</v>
      </c>
      <c r="M114" s="25">
        <f>IF(COUNT(E114:K114)&gt;4,MIN(E114:K114),"")</f>
        <v>3.8</v>
      </c>
      <c r="N114" s="88">
        <f>IF(COUNT(E114:K114)&gt;0,(SUM(E114:K114)-( SUM(L114:M114)  ))/(IF(COUNT(E114:K114)&gt;4,COUNT(E114:K114)-2,COUNT(E114:K114))),"")</f>
        <v>4.3666666666666671</v>
      </c>
      <c r="O114" s="139">
        <f>IF(COUNT(E114:K114)&gt;0,N114*Opcional1GD,"")</f>
        <v>8.2966666666666669</v>
      </c>
      <c r="P114" s="145"/>
      <c r="Q114" s="142"/>
      <c r="R114" s="107"/>
    </row>
    <row r="115" spans="1:18" x14ac:dyDescent="0.3">
      <c r="A115" s="108"/>
      <c r="B115" s="109"/>
      <c r="C115" s="108"/>
      <c r="D115" s="89">
        <f>Opcional2Cod</f>
        <v>327</v>
      </c>
      <c r="E115" s="102">
        <v>4.7</v>
      </c>
      <c r="F115" s="99">
        <v>4.5</v>
      </c>
      <c r="G115" s="99">
        <v>4.5999999999999996</v>
      </c>
      <c r="H115" s="99">
        <v>5</v>
      </c>
      <c r="I115" s="99">
        <v>5</v>
      </c>
      <c r="J115" s="99" t="str">
        <f>IF(JuecesPanel&gt;=6,"",IF((JuecesPanel+JuecesCalc)&lt;6,"",IF(COUNT(E115:I115)&gt;0,AVERAGE(E115:I115),"")))</f>
        <v/>
      </c>
      <c r="K115" s="99" t="str">
        <f>IF(JuecesPanel&gt;=7,"",IF((JuecesPanel+JuecesCalc)&lt;7,"",IF(COUNT(E115:J115)&gt;0,AVERAGE(E115:J115),"")))</f>
        <v/>
      </c>
      <c r="L115" s="99">
        <f>IF(COUNT(E115:K115)&gt;4,MAX(E115:K115),"")</f>
        <v>5</v>
      </c>
      <c r="M115" s="99">
        <f>IF(COUNT(E115:K115)&gt;4,MIN(E115:K115),"")</f>
        <v>4.5</v>
      </c>
      <c r="N115" s="110">
        <f>IF(COUNT(E115:K115)&gt;0,(SUM(E115:K115)-( SUM(L115:M115)  ))/(IF(COUNT(E115:K115)&gt;4,COUNT(E115:K115)-2,COUNT(E115:K115))),"")</f>
        <v>4.7666666666666657</v>
      </c>
      <c r="O115" s="140">
        <f>IF(COUNT(E115:K115)&gt;0,N115*Opcional2GD,"")</f>
        <v>8.5799999999999983</v>
      </c>
      <c r="P115" s="146"/>
      <c r="Q115" s="143"/>
      <c r="R115" s="111"/>
    </row>
    <row r="116" spans="1:18" x14ac:dyDescent="0.3">
      <c r="A116" s="96">
        <v>28</v>
      </c>
      <c r="B116" s="104" t="s">
        <v>158</v>
      </c>
      <c r="C116" s="103" t="s">
        <v>123</v>
      </c>
      <c r="D116" s="89">
        <f>Obligatoria1Cod</f>
        <v>106</v>
      </c>
      <c r="E116" s="112">
        <v>5.3</v>
      </c>
      <c r="F116" s="98">
        <v>5.3</v>
      </c>
      <c r="G116" s="98">
        <v>5.2</v>
      </c>
      <c r="H116" s="98">
        <v>4.7</v>
      </c>
      <c r="I116" s="98">
        <v>5.5</v>
      </c>
      <c r="J116" s="98" t="str">
        <f>IF(JuecesPanel&gt;=6,"",IF((JuecesPanel+JuecesCalc)&lt;6,"",IF(COUNT(E116:I116)&gt;0,AVERAGE(E116:I116),"")))</f>
        <v/>
      </c>
      <c r="K116" s="98" t="str">
        <f>IF(JuecesPanel&gt;=7,"",IF((JuecesPanel+JuecesCalc)&lt;7,"",IF(COUNT(E116:J116)&gt;0,AVERAGE(E116:J116),"")))</f>
        <v/>
      </c>
      <c r="L116" s="97">
        <f>IF(COUNT(E116:K116)&gt;4,MAX(E116:K116),"")</f>
        <v>5.5</v>
      </c>
      <c r="M116" s="97">
        <f>IF(COUNT(E116:K116)&gt;4,MIN(E116:K116),"")</f>
        <v>4.7</v>
      </c>
      <c r="N116" s="105">
        <f>IF(COUNT(E116:K116)&gt;0,(SUM(E116:K116)-( SUM(L116:M116)  ))/(IF(COUNT(E116:K116)&gt;4,COUNT(E116:K116)-2,COUNT(E116:K116))),"")</f>
        <v>5.2666666666666666</v>
      </c>
      <c r="O116" s="138">
        <f>IF(COUNT(E116:K116)&gt;0,N116*Obligatoria1GD,"")</f>
        <v>8.4266666666666676</v>
      </c>
      <c r="P116" s="144"/>
      <c r="Q116" s="141">
        <f>IF(COUNT(E116:K119)&gt;0,SUM(O116:O119),"")</f>
        <v>37.226666666666667</v>
      </c>
      <c r="R116" s="106">
        <f>IF(COUNT(E116:K119)&gt;0,((Q116/TotalGD)*10)-SUM(P116:P119),0)</f>
        <v>51.703703703703702</v>
      </c>
    </row>
    <row r="117" spans="1:18" x14ac:dyDescent="0.3">
      <c r="A117" s="87"/>
      <c r="B117" s="86"/>
      <c r="C117" s="87"/>
      <c r="D117" s="89">
        <f>Obligatoria2Cod</f>
        <v>301</v>
      </c>
      <c r="E117" s="101">
        <v>5.2</v>
      </c>
      <c r="F117" s="25">
        <v>4</v>
      </c>
      <c r="G117" s="25">
        <v>5.2</v>
      </c>
      <c r="H117" s="25">
        <v>5.5</v>
      </c>
      <c r="I117" s="25">
        <v>5.3</v>
      </c>
      <c r="J117" s="25" t="str">
        <f>IF(JuecesPanel&gt;=6,"",IF((JuecesPanel+JuecesCalc)&lt;6,"",IF(COUNT(E117:I117)&gt;0,AVERAGE(E117:I117),"")))</f>
        <v/>
      </c>
      <c r="K117" s="25" t="str">
        <f>IF(JuecesPanel&gt;=7,"",IF((JuecesPanel+JuecesCalc)&lt;7,"",IF(COUNT(E117:J117)&gt;0,AVERAGE(E117:J117),"")))</f>
        <v/>
      </c>
      <c r="L117" s="25">
        <f>IF(COUNT(E117:K117)&gt;4,MAX(E117:K117),"")</f>
        <v>5.5</v>
      </c>
      <c r="M117" s="25">
        <f>IF(COUNT(E117:K117)&gt;4,MIN(E117:K117),"")</f>
        <v>4</v>
      </c>
      <c r="N117" s="88">
        <f>IF(COUNT(E117:K117)&gt;0,(SUM(E117:K117)-( SUM(L117:M117)  ))/(IF(COUNT(E117:K117)&gt;4,COUNT(E117:K117)-2,COUNT(E117:K117))),"")</f>
        <v>5.2333333333333334</v>
      </c>
      <c r="O117" s="139">
        <f>IF(COUNT(E117:K117)&gt;0,N117*Obligatoria2GD,"")</f>
        <v>9.9433333333333334</v>
      </c>
      <c r="P117" s="145"/>
      <c r="Q117" s="142"/>
      <c r="R117" s="107"/>
    </row>
    <row r="118" spans="1:18" x14ac:dyDescent="0.3">
      <c r="A118" s="87"/>
      <c r="B118" s="86"/>
      <c r="C118" s="87"/>
      <c r="D118" s="89">
        <f>Opcional1Cod</f>
        <v>420</v>
      </c>
      <c r="E118" s="113">
        <v>4.8</v>
      </c>
      <c r="F118" s="26">
        <v>5.2</v>
      </c>
      <c r="G118" s="26">
        <v>4.7</v>
      </c>
      <c r="H118" s="26">
        <v>5.3</v>
      </c>
      <c r="I118" s="26">
        <v>4.9000000000000004</v>
      </c>
      <c r="J118" s="26" t="str">
        <f>IF(JuecesPanel&gt;=6,"",IF((JuecesPanel+JuecesCalc)&lt;6,"",IF(COUNT(E118:I118)&gt;0,AVERAGE(E118:I118),"")))</f>
        <v/>
      </c>
      <c r="K118" s="26" t="str">
        <f>IF(JuecesPanel&gt;=7,"",IF((JuecesPanel+JuecesCalc)&lt;7,"",IF(COUNT(E118:J118)&gt;0,AVERAGE(E118:J118),"")))</f>
        <v/>
      </c>
      <c r="L118" s="25">
        <f>IF(COUNT(E118:K118)&gt;4,MAX(E118:K118),"")</f>
        <v>5.3</v>
      </c>
      <c r="M118" s="25">
        <f>IF(COUNT(E118:K118)&gt;4,MIN(E118:K118),"")</f>
        <v>4.7</v>
      </c>
      <c r="N118" s="88">
        <f>IF(COUNT(E118:K118)&gt;0,(SUM(E118:K118)-( SUM(L118:M118)  ))/(IF(COUNT(E118:K118)&gt;4,COUNT(E118:K118)-2,COUNT(E118:K118))),"")</f>
        <v>4.9666666666666659</v>
      </c>
      <c r="O118" s="139">
        <f>IF(COUNT(E118:K118)&gt;0,N118*Opcional1GD,"")</f>
        <v>9.4366666666666656</v>
      </c>
      <c r="P118" s="145"/>
      <c r="Q118" s="142"/>
      <c r="R118" s="107"/>
    </row>
    <row r="119" spans="1:18" x14ac:dyDescent="0.3">
      <c r="A119" s="108"/>
      <c r="B119" s="109"/>
      <c r="C119" s="108"/>
      <c r="D119" s="89">
        <f>Opcional2Cod</f>
        <v>327</v>
      </c>
      <c r="E119" s="102">
        <v>4.8</v>
      </c>
      <c r="F119" s="99">
        <v>4.8</v>
      </c>
      <c r="G119" s="99">
        <v>5.5</v>
      </c>
      <c r="H119" s="99">
        <v>5.4</v>
      </c>
      <c r="I119" s="99">
        <v>5.5</v>
      </c>
      <c r="J119" s="99" t="str">
        <f>IF(JuecesPanel&gt;=6,"",IF((JuecesPanel+JuecesCalc)&lt;6,"",IF(COUNT(E119:I119)&gt;0,AVERAGE(E119:I119),"")))</f>
        <v/>
      </c>
      <c r="K119" s="99" t="str">
        <f>IF(JuecesPanel&gt;=7,"",IF((JuecesPanel+JuecesCalc)&lt;7,"",IF(COUNT(E119:J119)&gt;0,AVERAGE(E119:J119),"")))</f>
        <v/>
      </c>
      <c r="L119" s="99">
        <f>IF(COUNT(E119:K119)&gt;4,MAX(E119:K119),"")</f>
        <v>5.5</v>
      </c>
      <c r="M119" s="99">
        <f>IF(COUNT(E119:K119)&gt;4,MIN(E119:K119),"")</f>
        <v>4.8</v>
      </c>
      <c r="N119" s="110">
        <f>IF(COUNT(E119:K119)&gt;0,(SUM(E119:K119)-( SUM(L119:M119)  ))/(IF(COUNT(E119:K119)&gt;4,COUNT(E119:K119)-2,COUNT(E119:K119))),"")</f>
        <v>5.2333333333333334</v>
      </c>
      <c r="O119" s="140">
        <f>IF(COUNT(E119:K119)&gt;0,N119*Opcional2GD,"")</f>
        <v>9.42</v>
      </c>
      <c r="P119" s="146"/>
      <c r="Q119" s="143"/>
      <c r="R119" s="111"/>
    </row>
    <row r="120" spans="1:18" x14ac:dyDescent="0.3">
      <c r="A120" s="96">
        <v>29</v>
      </c>
      <c r="B120" s="104" t="s">
        <v>159</v>
      </c>
      <c r="C120" s="103" t="s">
        <v>122</v>
      </c>
      <c r="D120" s="89">
        <f>Obligatoria1Cod</f>
        <v>106</v>
      </c>
      <c r="E120" s="112">
        <v>4.4000000000000004</v>
      </c>
      <c r="F120" s="98">
        <v>4.2</v>
      </c>
      <c r="G120" s="98">
        <v>4.0999999999999996</v>
      </c>
      <c r="H120" s="98">
        <v>4</v>
      </c>
      <c r="I120" s="98">
        <v>4.7</v>
      </c>
      <c r="J120" s="98" t="str">
        <f>IF(JuecesPanel&gt;=6,"",IF((JuecesPanel+JuecesCalc)&lt;6,"",IF(COUNT(E120:I120)&gt;0,AVERAGE(E120:I120),"")))</f>
        <v/>
      </c>
      <c r="K120" s="98" t="str">
        <f>IF(JuecesPanel&gt;=7,"",IF((JuecesPanel+JuecesCalc)&lt;7,"",IF(COUNT(E120:J120)&gt;0,AVERAGE(E120:J120),"")))</f>
        <v/>
      </c>
      <c r="L120" s="97">
        <f>IF(COUNT(E120:K120)&gt;4,MAX(E120:K120),"")</f>
        <v>4.7</v>
      </c>
      <c r="M120" s="97">
        <f>IF(COUNT(E120:K120)&gt;4,MIN(E120:K120),"")</f>
        <v>4</v>
      </c>
      <c r="N120" s="105">
        <f>IF(COUNT(E120:K120)&gt;0,(SUM(E120:K120)-( SUM(L120:M120)  ))/(IF(COUNT(E120:K120)&gt;4,COUNT(E120:K120)-2,COUNT(E120:K120))),"")</f>
        <v>4.2333333333333343</v>
      </c>
      <c r="O120" s="138">
        <f>IF(COUNT(E120:K120)&gt;0,N120*Obligatoria1GD,"")</f>
        <v>6.7733333333333352</v>
      </c>
      <c r="P120" s="144"/>
      <c r="Q120" s="141">
        <f>IF(COUNT(E120:K123)&gt;0,SUM(O120:O123),"")</f>
        <v>31.466666666666669</v>
      </c>
      <c r="R120" s="106">
        <f>IF(COUNT(E120:K123)&gt;0,((Q120/TotalGD)*10)-SUM(P120:P123),0)</f>
        <v>43.703703703703702</v>
      </c>
    </row>
    <row r="121" spans="1:18" x14ac:dyDescent="0.3">
      <c r="A121" s="87"/>
      <c r="B121" s="86"/>
      <c r="C121" s="87"/>
      <c r="D121" s="89">
        <f>Obligatoria2Cod</f>
        <v>301</v>
      </c>
      <c r="E121" s="101">
        <v>4.0999999999999996</v>
      </c>
      <c r="F121" s="25">
        <v>3.7</v>
      </c>
      <c r="G121" s="25">
        <v>4.2</v>
      </c>
      <c r="H121" s="25">
        <v>4.3</v>
      </c>
      <c r="I121" s="25">
        <v>4.8</v>
      </c>
      <c r="J121" s="25" t="str">
        <f>IF(JuecesPanel&gt;=6,"",IF((JuecesPanel+JuecesCalc)&lt;6,"",IF(COUNT(E121:I121)&gt;0,AVERAGE(E121:I121),"")))</f>
        <v/>
      </c>
      <c r="K121" s="25" t="str">
        <f>IF(JuecesPanel&gt;=7,"",IF((JuecesPanel+JuecesCalc)&lt;7,"",IF(COUNT(E121:J121)&gt;0,AVERAGE(E121:J121),"")))</f>
        <v/>
      </c>
      <c r="L121" s="25">
        <f>IF(COUNT(E121:K121)&gt;4,MAX(E121:K121),"")</f>
        <v>4.8</v>
      </c>
      <c r="M121" s="25">
        <f>IF(COUNT(E121:K121)&gt;4,MIN(E121:K121),"")</f>
        <v>3.7</v>
      </c>
      <c r="N121" s="88">
        <f>IF(COUNT(E121:K121)&gt;0,(SUM(E121:K121)-( SUM(L121:M121)  ))/(IF(COUNT(E121:K121)&gt;4,COUNT(E121:K121)-2,COUNT(E121:K121))),"")</f>
        <v>4.2</v>
      </c>
      <c r="O121" s="139">
        <f>IF(COUNT(E121:K121)&gt;0,N121*Obligatoria2GD,"")</f>
        <v>7.9799999999999995</v>
      </c>
      <c r="P121" s="145"/>
      <c r="Q121" s="142"/>
      <c r="R121" s="107"/>
    </row>
    <row r="122" spans="1:18" x14ac:dyDescent="0.3">
      <c r="A122" s="87"/>
      <c r="B122" s="86"/>
      <c r="C122" s="87"/>
      <c r="D122" s="89">
        <f>Opcional1Cod</f>
        <v>420</v>
      </c>
      <c r="E122" s="113">
        <v>4.5</v>
      </c>
      <c r="F122" s="26">
        <v>4.5999999999999996</v>
      </c>
      <c r="G122" s="26">
        <v>4.0999999999999996</v>
      </c>
      <c r="H122" s="26">
        <v>4.5</v>
      </c>
      <c r="I122" s="26">
        <v>5.4</v>
      </c>
      <c r="J122" s="26" t="str">
        <f>IF(JuecesPanel&gt;=6,"",IF((JuecesPanel+JuecesCalc)&lt;6,"",IF(COUNT(E122:I122)&gt;0,AVERAGE(E122:I122),"")))</f>
        <v/>
      </c>
      <c r="K122" s="26" t="str">
        <f>IF(JuecesPanel&gt;=7,"",IF((JuecesPanel+JuecesCalc)&lt;7,"",IF(COUNT(E122:J122)&gt;0,AVERAGE(E122:J122),"")))</f>
        <v/>
      </c>
      <c r="L122" s="25">
        <f>IF(COUNT(E122:K122)&gt;4,MAX(E122:K122),"")</f>
        <v>5.4</v>
      </c>
      <c r="M122" s="25">
        <f>IF(COUNT(E122:K122)&gt;4,MIN(E122:K122),"")</f>
        <v>4.0999999999999996</v>
      </c>
      <c r="N122" s="88">
        <f>IF(COUNT(E122:K122)&gt;0,(SUM(E122:K122)-( SUM(L122:M122)  ))/(IF(COUNT(E122:K122)&gt;4,COUNT(E122:K122)-2,COUNT(E122:K122))),"")</f>
        <v>4.5333333333333341</v>
      </c>
      <c r="O122" s="139">
        <f>IF(COUNT(E122:K122)&gt;0,N122*Opcional1GD,"")</f>
        <v>8.6133333333333351</v>
      </c>
      <c r="P122" s="145"/>
      <c r="Q122" s="142"/>
      <c r="R122" s="107"/>
    </row>
    <row r="123" spans="1:18" x14ac:dyDescent="0.3">
      <c r="A123" s="108"/>
      <c r="B123" s="109"/>
      <c r="C123" s="108"/>
      <c r="D123" s="89">
        <f>Opcional2Cod</f>
        <v>327</v>
      </c>
      <c r="E123" s="102">
        <v>4.7</v>
      </c>
      <c r="F123" s="99">
        <v>4.5999999999999996</v>
      </c>
      <c r="G123" s="99">
        <v>4.3</v>
      </c>
      <c r="H123" s="99">
        <v>4.5999999999999996</v>
      </c>
      <c r="I123" s="99">
        <v>4</v>
      </c>
      <c r="J123" s="99" t="str">
        <f>IF(JuecesPanel&gt;=6,"",IF((JuecesPanel+JuecesCalc)&lt;6,"",IF(COUNT(E123:I123)&gt;0,AVERAGE(E123:I123),"")))</f>
        <v/>
      </c>
      <c r="K123" s="99" t="str">
        <f>IF(JuecesPanel&gt;=7,"",IF((JuecesPanel+JuecesCalc)&lt;7,"",IF(COUNT(E123:J123)&gt;0,AVERAGE(E123:J123),"")))</f>
        <v/>
      </c>
      <c r="L123" s="99">
        <f>IF(COUNT(E123:K123)&gt;4,MAX(E123:K123),"")</f>
        <v>4.7</v>
      </c>
      <c r="M123" s="99">
        <f>IF(COUNT(E123:K123)&gt;4,MIN(E123:K123),"")</f>
        <v>4</v>
      </c>
      <c r="N123" s="110">
        <f>IF(COUNT(E123:K123)&gt;0,(SUM(E123:K123)-( SUM(L123:M123)  ))/(IF(COUNT(E123:K123)&gt;4,COUNT(E123:K123)-2,COUNT(E123:K123))),"")</f>
        <v>4.5000000000000009</v>
      </c>
      <c r="O123" s="140">
        <f>IF(COUNT(E123:K123)&gt;0,N123*Opcional2GD,"")</f>
        <v>8.1000000000000014</v>
      </c>
      <c r="P123" s="146"/>
      <c r="Q123" s="143"/>
      <c r="R123" s="111"/>
    </row>
    <row r="124" spans="1:18" x14ac:dyDescent="0.3">
      <c r="A124" s="96">
        <v>30</v>
      </c>
      <c r="B124" s="104" t="s">
        <v>160</v>
      </c>
      <c r="C124" s="103" t="s">
        <v>123</v>
      </c>
      <c r="D124" s="89">
        <f>Obligatoria1Cod</f>
        <v>106</v>
      </c>
      <c r="E124" s="112">
        <v>5.2</v>
      </c>
      <c r="F124" s="98">
        <v>5.3</v>
      </c>
      <c r="G124" s="98">
        <v>5.0999999999999996</v>
      </c>
      <c r="H124" s="98">
        <v>5.8</v>
      </c>
      <c r="I124" s="98">
        <v>5.3</v>
      </c>
      <c r="J124" s="98" t="str">
        <f>IF(JuecesPanel&gt;=6,"",IF((JuecesPanel+JuecesCalc)&lt;6,"",IF(COUNT(E124:I124)&gt;0,AVERAGE(E124:I124),"")))</f>
        <v/>
      </c>
      <c r="K124" s="98" t="str">
        <f>IF(JuecesPanel&gt;=7,"",IF((JuecesPanel+JuecesCalc)&lt;7,"",IF(COUNT(E124:J124)&gt;0,AVERAGE(E124:J124),"")))</f>
        <v/>
      </c>
      <c r="L124" s="97">
        <f>IF(COUNT(E124:K124)&gt;4,MAX(E124:K124),"")</f>
        <v>5.8</v>
      </c>
      <c r="M124" s="97">
        <f>IF(COUNT(E124:K124)&gt;4,MIN(E124:K124),"")</f>
        <v>5.0999999999999996</v>
      </c>
      <c r="N124" s="105">
        <f>IF(COUNT(E124:K124)&gt;0,(SUM(E124:K124)-( SUM(L124:M124)  ))/(IF(COUNT(E124:K124)&gt;4,COUNT(E124:K124)-2,COUNT(E124:K124))),"")</f>
        <v>5.2666666666666666</v>
      </c>
      <c r="O124" s="138">
        <f>IF(COUNT(E124:K124)&gt;0,N124*Obligatoria1GD,"")</f>
        <v>8.4266666666666676</v>
      </c>
      <c r="P124" s="144"/>
      <c r="Q124" s="141">
        <f>IF(COUNT(E124:K127)&gt;0,SUM(O124:O127),"")</f>
        <v>38.416666666666671</v>
      </c>
      <c r="R124" s="106">
        <f>IF(COUNT(E124:K127)&gt;0,((Q124/TotalGD)*10)-SUM(P124:P127),0)</f>
        <v>53.356481481481488</v>
      </c>
    </row>
    <row r="125" spans="1:18" x14ac:dyDescent="0.3">
      <c r="A125" s="87"/>
      <c r="B125" s="86"/>
      <c r="C125" s="87"/>
      <c r="D125" s="89">
        <f>Obligatoria2Cod</f>
        <v>301</v>
      </c>
      <c r="E125" s="101">
        <v>4.9000000000000004</v>
      </c>
      <c r="F125" s="25">
        <v>4</v>
      </c>
      <c r="G125" s="25">
        <v>5.4</v>
      </c>
      <c r="H125" s="25">
        <v>5.7</v>
      </c>
      <c r="I125" s="25">
        <v>5.0999999999999996</v>
      </c>
      <c r="J125" s="25" t="str">
        <f>IF(JuecesPanel&gt;=6,"",IF((JuecesPanel+JuecesCalc)&lt;6,"",IF(COUNT(E125:I125)&gt;0,AVERAGE(E125:I125),"")))</f>
        <v/>
      </c>
      <c r="K125" s="25" t="str">
        <f>IF(JuecesPanel&gt;=7,"",IF((JuecesPanel+JuecesCalc)&lt;7,"",IF(COUNT(E125:J125)&gt;0,AVERAGE(E125:J125),"")))</f>
        <v/>
      </c>
      <c r="L125" s="25">
        <f>IF(COUNT(E125:K125)&gt;4,MAX(E125:K125),"")</f>
        <v>5.7</v>
      </c>
      <c r="M125" s="25">
        <f>IF(COUNT(E125:K125)&gt;4,MIN(E125:K125),"")</f>
        <v>4</v>
      </c>
      <c r="N125" s="88">
        <f>IF(COUNT(E125:K125)&gt;0,(SUM(E125:K125)-( SUM(L125:M125)  ))/(IF(COUNT(E125:K125)&gt;4,COUNT(E125:K125)-2,COUNT(E125:K125))),"")</f>
        <v>5.1333333333333337</v>
      </c>
      <c r="O125" s="139">
        <f>IF(COUNT(E125:K125)&gt;0,N125*Obligatoria2GD,"")</f>
        <v>9.7533333333333339</v>
      </c>
      <c r="P125" s="145"/>
      <c r="Q125" s="142"/>
      <c r="R125" s="107"/>
    </row>
    <row r="126" spans="1:18" x14ac:dyDescent="0.3">
      <c r="A126" s="87"/>
      <c r="B126" s="86"/>
      <c r="C126" s="87"/>
      <c r="D126" s="89">
        <f>Opcional1Cod</f>
        <v>420</v>
      </c>
      <c r="E126" s="113">
        <v>5.8</v>
      </c>
      <c r="F126" s="26">
        <v>5.6</v>
      </c>
      <c r="G126" s="26">
        <v>5.3</v>
      </c>
      <c r="H126" s="26">
        <v>5.8</v>
      </c>
      <c r="I126" s="26">
        <v>4.8</v>
      </c>
      <c r="J126" s="26" t="str">
        <f>IF(JuecesPanel&gt;=6,"",IF((JuecesPanel+JuecesCalc)&lt;6,"",IF(COUNT(E126:I126)&gt;0,AVERAGE(E126:I126),"")))</f>
        <v/>
      </c>
      <c r="K126" s="26" t="str">
        <f>IF(JuecesPanel&gt;=7,"",IF((JuecesPanel+JuecesCalc)&lt;7,"",IF(COUNT(E126:J126)&gt;0,AVERAGE(E126:J126),"")))</f>
        <v/>
      </c>
      <c r="L126" s="25">
        <f>IF(COUNT(E126:K126)&gt;4,MAX(E126:K126),"")</f>
        <v>5.8</v>
      </c>
      <c r="M126" s="25">
        <f>IF(COUNT(E126:K126)&gt;4,MIN(E126:K126),"")</f>
        <v>4.8</v>
      </c>
      <c r="N126" s="88">
        <f>IF(COUNT(E126:K126)&gt;0,(SUM(E126:K126)-( SUM(L126:M126)  ))/(IF(COUNT(E126:K126)&gt;4,COUNT(E126:K126)-2,COUNT(E126:K126))),"")</f>
        <v>5.5666666666666673</v>
      </c>
      <c r="O126" s="139">
        <f>IF(COUNT(E126:K126)&gt;0,N126*Opcional1GD,"")</f>
        <v>10.576666666666668</v>
      </c>
      <c r="P126" s="145"/>
      <c r="Q126" s="142"/>
      <c r="R126" s="107"/>
    </row>
    <row r="127" spans="1:18" x14ac:dyDescent="0.3">
      <c r="A127" s="108"/>
      <c r="B127" s="109"/>
      <c r="C127" s="108"/>
      <c r="D127" s="89">
        <f>Opcional2Cod</f>
        <v>327</v>
      </c>
      <c r="E127" s="102">
        <v>4.9000000000000004</v>
      </c>
      <c r="F127" s="99">
        <v>5</v>
      </c>
      <c r="G127" s="99">
        <v>5.7</v>
      </c>
      <c r="H127" s="99">
        <v>5.6</v>
      </c>
      <c r="I127" s="99">
        <v>5.5</v>
      </c>
      <c r="J127" s="99" t="str">
        <f>IF(JuecesPanel&gt;=6,"",IF((JuecesPanel+JuecesCalc)&lt;6,"",IF(COUNT(E127:I127)&gt;0,AVERAGE(E127:I127),"")))</f>
        <v/>
      </c>
      <c r="K127" s="99" t="str">
        <f>IF(JuecesPanel&gt;=7,"",IF((JuecesPanel+JuecesCalc)&lt;7,"",IF(COUNT(E127:J127)&gt;0,AVERAGE(E127:J127),"")))</f>
        <v/>
      </c>
      <c r="L127" s="99">
        <f>IF(COUNT(E127:K127)&gt;4,MAX(E127:K127),"")</f>
        <v>5.7</v>
      </c>
      <c r="M127" s="99">
        <f>IF(COUNT(E127:K127)&gt;4,MIN(E127:K127),"")</f>
        <v>4.9000000000000004</v>
      </c>
      <c r="N127" s="110">
        <f>IF(COUNT(E127:K127)&gt;0,(SUM(E127:K127)-( SUM(L127:M127)  ))/(IF(COUNT(E127:K127)&gt;4,COUNT(E127:K127)-2,COUNT(E127:K127))),"")</f>
        <v>5.3666666666666671</v>
      </c>
      <c r="O127" s="140">
        <f>IF(COUNT(E127:K127)&gt;0,N127*Opcional2GD,"")</f>
        <v>9.6600000000000019</v>
      </c>
      <c r="P127" s="146"/>
      <c r="Q127" s="143"/>
      <c r="R127" s="111"/>
    </row>
    <row r="128" spans="1:18" x14ac:dyDescent="0.3">
      <c r="A128" s="96">
        <v>31</v>
      </c>
      <c r="B128" s="104" t="s">
        <v>161</v>
      </c>
      <c r="C128" s="103" t="s">
        <v>121</v>
      </c>
      <c r="D128" s="89">
        <f>Obligatoria1Cod</f>
        <v>106</v>
      </c>
      <c r="E128" s="112">
        <v>5.0999999999999996</v>
      </c>
      <c r="F128" s="98">
        <v>4.7</v>
      </c>
      <c r="G128" s="98">
        <v>4.7</v>
      </c>
      <c r="H128" s="98">
        <v>5</v>
      </c>
      <c r="I128" s="98">
        <v>4.8</v>
      </c>
      <c r="J128" s="98" t="str">
        <f>IF(JuecesPanel&gt;=6,"",IF((JuecesPanel+JuecesCalc)&lt;6,"",IF(COUNT(E128:I128)&gt;0,AVERAGE(E128:I128),"")))</f>
        <v/>
      </c>
      <c r="K128" s="98" t="str">
        <f>IF(JuecesPanel&gt;=7,"",IF((JuecesPanel+JuecesCalc)&lt;7,"",IF(COUNT(E128:J128)&gt;0,AVERAGE(E128:J128),"")))</f>
        <v/>
      </c>
      <c r="L128" s="97">
        <f>IF(COUNT(E128:K128)&gt;4,MAX(E128:K128),"")</f>
        <v>5.0999999999999996</v>
      </c>
      <c r="M128" s="97">
        <f>IF(COUNT(E128:K128)&gt;4,MIN(E128:K128),"")</f>
        <v>4.7</v>
      </c>
      <c r="N128" s="105">
        <f>IF(COUNT(E128:K128)&gt;0,(SUM(E128:K128)-( SUM(L128:M128)  ))/(IF(COUNT(E128:K128)&gt;4,COUNT(E128:K128)-2,COUNT(E128:K128))),"")</f>
        <v>4.833333333333333</v>
      </c>
      <c r="O128" s="138">
        <f>IF(COUNT(E128:K128)&gt;0,N128*Obligatoria1GD,"")</f>
        <v>7.7333333333333334</v>
      </c>
      <c r="P128" s="144"/>
      <c r="Q128" s="141">
        <f>IF(COUNT(E128:K131)&gt;0,SUM(O128:O131),"")</f>
        <v>34.603333333333332</v>
      </c>
      <c r="R128" s="106">
        <f>IF(COUNT(E128:K131)&gt;0,((Q128/TotalGD)*10)-SUM(P128:P131),0)</f>
        <v>48.060185185185176</v>
      </c>
    </row>
    <row r="129" spans="1:18" x14ac:dyDescent="0.3">
      <c r="A129" s="87"/>
      <c r="B129" s="86"/>
      <c r="C129" s="87"/>
      <c r="D129" s="89">
        <f>Obligatoria2Cod</f>
        <v>301</v>
      </c>
      <c r="E129" s="101">
        <v>4.5999999999999996</v>
      </c>
      <c r="F129" s="25">
        <v>4.2</v>
      </c>
      <c r="G129" s="25">
        <v>4.4000000000000004</v>
      </c>
      <c r="H129" s="25">
        <v>4.5</v>
      </c>
      <c r="I129" s="25">
        <v>4.9000000000000004</v>
      </c>
      <c r="J129" s="25" t="str">
        <f>IF(JuecesPanel&gt;=6,"",IF((JuecesPanel+JuecesCalc)&lt;6,"",IF(COUNT(E129:I129)&gt;0,AVERAGE(E129:I129),"")))</f>
        <v/>
      </c>
      <c r="K129" s="25" t="str">
        <f>IF(JuecesPanel&gt;=7,"",IF((JuecesPanel+JuecesCalc)&lt;7,"",IF(COUNT(E129:J129)&gt;0,AVERAGE(E129:J129),"")))</f>
        <v/>
      </c>
      <c r="L129" s="25">
        <f>IF(COUNT(E129:K129)&gt;4,MAX(E129:K129),"")</f>
        <v>4.9000000000000004</v>
      </c>
      <c r="M129" s="25">
        <f>IF(COUNT(E129:K129)&gt;4,MIN(E129:K129),"")</f>
        <v>4.2</v>
      </c>
      <c r="N129" s="88">
        <f>IF(COUNT(E129:K129)&gt;0,(SUM(E129:K129)-( SUM(L129:M129)  ))/(IF(COUNT(E129:K129)&gt;4,COUNT(E129:K129)-2,COUNT(E129:K129))),"")</f>
        <v>4.5</v>
      </c>
      <c r="O129" s="139">
        <f>IF(COUNT(E129:K129)&gt;0,N129*Obligatoria2GD,"")</f>
        <v>8.5499999999999989</v>
      </c>
      <c r="P129" s="145"/>
      <c r="Q129" s="142"/>
      <c r="R129" s="107"/>
    </row>
    <row r="130" spans="1:18" x14ac:dyDescent="0.3">
      <c r="A130" s="87"/>
      <c r="B130" s="86"/>
      <c r="C130" s="87"/>
      <c r="D130" s="89">
        <f>Opcional1Cod</f>
        <v>420</v>
      </c>
      <c r="E130" s="113">
        <v>5.0999999999999996</v>
      </c>
      <c r="F130" s="26">
        <v>4.3</v>
      </c>
      <c r="G130" s="26">
        <v>5</v>
      </c>
      <c r="H130" s="26">
        <v>4.9000000000000004</v>
      </c>
      <c r="I130" s="26">
        <v>5.0999999999999996</v>
      </c>
      <c r="J130" s="26" t="str">
        <f>IF(JuecesPanel&gt;=6,"",IF((JuecesPanel+JuecesCalc)&lt;6,"",IF(COUNT(E130:I130)&gt;0,AVERAGE(E130:I130),"")))</f>
        <v/>
      </c>
      <c r="K130" s="26" t="str">
        <f>IF(JuecesPanel&gt;=7,"",IF((JuecesPanel+JuecesCalc)&lt;7,"",IF(COUNT(E130:J130)&gt;0,AVERAGE(E130:J130),"")))</f>
        <v/>
      </c>
      <c r="L130" s="25">
        <f>IF(COUNT(E130:K130)&gt;4,MAX(E130:K130),"")</f>
        <v>5.0999999999999996</v>
      </c>
      <c r="M130" s="25">
        <f>IF(COUNT(E130:K130)&gt;4,MIN(E130:K130),"")</f>
        <v>4.3</v>
      </c>
      <c r="N130" s="88">
        <f>IF(COUNT(E130:K130)&gt;0,(SUM(E130:K130)-( SUM(L130:M130)  ))/(IF(COUNT(E130:K130)&gt;4,COUNT(E130:K130)-2,COUNT(E130:K130))),"")</f>
        <v>5</v>
      </c>
      <c r="O130" s="139">
        <f>IF(COUNT(E130:K130)&gt;0,N130*Opcional1GD,"")</f>
        <v>9.5</v>
      </c>
      <c r="P130" s="145"/>
      <c r="Q130" s="142"/>
      <c r="R130" s="107"/>
    </row>
    <row r="131" spans="1:18" x14ac:dyDescent="0.3">
      <c r="A131" s="108"/>
      <c r="B131" s="109"/>
      <c r="C131" s="108"/>
      <c r="D131" s="89">
        <f>Opcional2Cod</f>
        <v>327</v>
      </c>
      <c r="E131" s="102">
        <v>4.8</v>
      </c>
      <c r="F131" s="99">
        <v>4.4000000000000004</v>
      </c>
      <c r="G131" s="99">
        <v>4.9000000000000004</v>
      </c>
      <c r="H131" s="99">
        <v>5.2</v>
      </c>
      <c r="I131" s="99">
        <v>5</v>
      </c>
      <c r="J131" s="99" t="str">
        <f>IF(JuecesPanel&gt;=6,"",IF((JuecesPanel+JuecesCalc)&lt;6,"",IF(COUNT(E131:I131)&gt;0,AVERAGE(E131:I131),"")))</f>
        <v/>
      </c>
      <c r="K131" s="99" t="str">
        <f>IF(JuecesPanel&gt;=7,"",IF((JuecesPanel+JuecesCalc)&lt;7,"",IF(COUNT(E131:J131)&gt;0,AVERAGE(E131:J131),"")))</f>
        <v/>
      </c>
      <c r="L131" s="99">
        <f>IF(COUNT(E131:K131)&gt;4,MAX(E131:K131),"")</f>
        <v>5.2</v>
      </c>
      <c r="M131" s="99">
        <f>IF(COUNT(E131:K131)&gt;4,MIN(E131:K131),"")</f>
        <v>4.4000000000000004</v>
      </c>
      <c r="N131" s="110">
        <f>IF(COUNT(E131:K131)&gt;0,(SUM(E131:K131)-( SUM(L131:M131)  ))/(IF(COUNT(E131:K131)&gt;4,COUNT(E131:K131)-2,COUNT(E131:K131))),"")</f>
        <v>4.8999999999999995</v>
      </c>
      <c r="O131" s="140">
        <f>IF(COUNT(E131:K131)&gt;0,N131*Opcional2GD,"")</f>
        <v>8.8199999999999985</v>
      </c>
      <c r="P131" s="146"/>
      <c r="Q131" s="143"/>
      <c r="R131" s="111"/>
    </row>
    <row r="132" spans="1:18" x14ac:dyDescent="0.3">
      <c r="A132" s="96">
        <v>32</v>
      </c>
      <c r="B132" s="104" t="s">
        <v>136</v>
      </c>
      <c r="C132" s="103" t="s">
        <v>121</v>
      </c>
      <c r="D132" s="89">
        <f>Obligatoria1Cod</f>
        <v>106</v>
      </c>
      <c r="E132" s="112">
        <v>4.3</v>
      </c>
      <c r="F132" s="98">
        <v>4.0999999999999996</v>
      </c>
      <c r="G132" s="98">
        <v>3.4</v>
      </c>
      <c r="H132" s="98">
        <v>3.3</v>
      </c>
      <c r="I132" s="98">
        <v>4.2</v>
      </c>
      <c r="J132" s="98" t="str">
        <f>IF(JuecesPanel&gt;=6,"",IF((JuecesPanel+JuecesCalc)&lt;6,"",IF(COUNT(E132:I132)&gt;0,AVERAGE(E132:I132),"")))</f>
        <v/>
      </c>
      <c r="K132" s="98" t="str">
        <f>IF(JuecesPanel&gt;=7,"",IF((JuecesPanel+JuecesCalc)&lt;7,"",IF(COUNT(E132:J132)&gt;0,AVERAGE(E132:J132),"")))</f>
        <v/>
      </c>
      <c r="L132" s="97">
        <f>IF(COUNT(E132:K132)&gt;4,MAX(E132:K132),"")</f>
        <v>4.3</v>
      </c>
      <c r="M132" s="97">
        <f>IF(COUNT(E132:K132)&gt;4,MIN(E132:K132),"")</f>
        <v>3.3</v>
      </c>
      <c r="N132" s="105">
        <f>IF(COUNT(E132:K132)&gt;0,(SUM(E132:K132)-( SUM(L132:M132)  ))/(IF(COUNT(E132:K132)&gt;4,COUNT(E132:K132)-2,COUNT(E132:K132))),"")</f>
        <v>3.899999999999999</v>
      </c>
      <c r="O132" s="138">
        <f>IF(COUNT(E132:K132)&gt;0,N132*Obligatoria1GD,"")</f>
        <v>6.2399999999999984</v>
      </c>
      <c r="P132" s="144"/>
      <c r="Q132" s="141">
        <f>IF(COUNT(E132:K135)&gt;0,SUM(O132:O135),"")</f>
        <v>28.696666666666665</v>
      </c>
      <c r="R132" s="106">
        <f>IF(COUNT(E132:K135)&gt;0,((Q132/TotalGD)*10)-SUM(P132:P135),0)</f>
        <v>39.856481481481481</v>
      </c>
    </row>
    <row r="133" spans="1:18" x14ac:dyDescent="0.3">
      <c r="A133" s="87"/>
      <c r="B133" s="86"/>
      <c r="C133" s="87"/>
      <c r="D133" s="89">
        <f>Obligatoria2Cod</f>
        <v>301</v>
      </c>
      <c r="E133" s="101">
        <v>4</v>
      </c>
      <c r="F133" s="25">
        <v>3.8</v>
      </c>
      <c r="G133" s="25">
        <v>4</v>
      </c>
      <c r="H133" s="25">
        <v>4</v>
      </c>
      <c r="I133" s="25">
        <v>4.5</v>
      </c>
      <c r="J133" s="25" t="str">
        <f>IF(JuecesPanel&gt;=6,"",IF((JuecesPanel+JuecesCalc)&lt;6,"",IF(COUNT(E133:I133)&gt;0,AVERAGE(E133:I133),"")))</f>
        <v/>
      </c>
      <c r="K133" s="25" t="str">
        <f>IF(JuecesPanel&gt;=7,"",IF((JuecesPanel+JuecesCalc)&lt;7,"",IF(COUNT(E133:J133)&gt;0,AVERAGE(E133:J133),"")))</f>
        <v/>
      </c>
      <c r="L133" s="25">
        <f>IF(COUNT(E133:K133)&gt;4,MAX(E133:K133),"")</f>
        <v>4.5</v>
      </c>
      <c r="M133" s="25">
        <f>IF(COUNT(E133:K133)&gt;4,MIN(E133:K133),"")</f>
        <v>3.8</v>
      </c>
      <c r="N133" s="88">
        <f>IF(COUNT(E133:K133)&gt;0,(SUM(E133:K133)-( SUM(L133:M133)  ))/(IF(COUNT(E133:K133)&gt;4,COUNT(E133:K133)-2,COUNT(E133:K133))),"")</f>
        <v>4</v>
      </c>
      <c r="O133" s="139">
        <f>IF(COUNT(E133:K133)&gt;0,N133*Obligatoria2GD,"")</f>
        <v>7.6</v>
      </c>
      <c r="P133" s="145"/>
      <c r="Q133" s="142"/>
      <c r="R133" s="107"/>
    </row>
    <row r="134" spans="1:18" x14ac:dyDescent="0.3">
      <c r="A134" s="87"/>
      <c r="B134" s="86"/>
      <c r="C134" s="87"/>
      <c r="D134" s="89">
        <f>Opcional1Cod</f>
        <v>420</v>
      </c>
      <c r="E134" s="113">
        <v>4.3</v>
      </c>
      <c r="F134" s="26">
        <v>3.3</v>
      </c>
      <c r="G134" s="26">
        <v>3.8</v>
      </c>
      <c r="H134" s="26">
        <v>3.8</v>
      </c>
      <c r="I134" s="26">
        <v>4.7</v>
      </c>
      <c r="J134" s="26" t="str">
        <f>IF(JuecesPanel&gt;=6,"",IF((JuecesPanel+JuecesCalc)&lt;6,"",IF(COUNT(E134:I134)&gt;0,AVERAGE(E134:I134),"")))</f>
        <v/>
      </c>
      <c r="K134" s="26" t="str">
        <f>IF(JuecesPanel&gt;=7,"",IF((JuecesPanel+JuecesCalc)&lt;7,"",IF(COUNT(E134:J134)&gt;0,AVERAGE(E134:J134),"")))</f>
        <v/>
      </c>
      <c r="L134" s="25">
        <f>IF(COUNT(E134:K134)&gt;4,MAX(E134:K134),"")</f>
        <v>4.7</v>
      </c>
      <c r="M134" s="25">
        <f>IF(COUNT(E134:K134)&gt;4,MIN(E134:K134),"")</f>
        <v>3.3</v>
      </c>
      <c r="N134" s="88">
        <f>IF(COUNT(E134:K134)&gt;0,(SUM(E134:K134)-( SUM(L134:M134)  ))/(IF(COUNT(E134:K134)&gt;4,COUNT(E134:K134)-2,COUNT(E134:K134))),"")</f>
        <v>3.9666666666666663</v>
      </c>
      <c r="O134" s="139">
        <f>IF(COUNT(E134:K134)&gt;0,N134*Opcional1GD,"")</f>
        <v>7.5366666666666653</v>
      </c>
      <c r="P134" s="145"/>
      <c r="Q134" s="142"/>
      <c r="R134" s="107"/>
    </row>
    <row r="135" spans="1:18" x14ac:dyDescent="0.3">
      <c r="A135" s="108"/>
      <c r="B135" s="109"/>
      <c r="C135" s="108"/>
      <c r="D135" s="89">
        <f>Opcional2Cod</f>
        <v>327</v>
      </c>
      <c r="E135" s="102">
        <v>3</v>
      </c>
      <c r="F135" s="99">
        <v>4.5</v>
      </c>
      <c r="G135" s="99">
        <v>4</v>
      </c>
      <c r="H135" s="99">
        <v>3.9</v>
      </c>
      <c r="I135" s="99">
        <v>4.3</v>
      </c>
      <c r="J135" s="99" t="str">
        <f>IF(JuecesPanel&gt;=6,"",IF((JuecesPanel+JuecesCalc)&lt;6,"",IF(COUNT(E135:I135)&gt;0,AVERAGE(E135:I135),"")))</f>
        <v/>
      </c>
      <c r="K135" s="99" t="str">
        <f>IF(JuecesPanel&gt;=7,"",IF((JuecesPanel+JuecesCalc)&lt;7,"",IF(COUNT(E135:J135)&gt;0,AVERAGE(E135:J135),"")))</f>
        <v/>
      </c>
      <c r="L135" s="99">
        <f>IF(COUNT(E135:K135)&gt;4,MAX(E135:K135),"")</f>
        <v>4.5</v>
      </c>
      <c r="M135" s="99">
        <f>IF(COUNT(E135:K135)&gt;4,MIN(E135:K135),"")</f>
        <v>3</v>
      </c>
      <c r="N135" s="110">
        <f>IF(COUNT(E135:K135)&gt;0,(SUM(E135:K135)-( SUM(L135:M135)  ))/(IF(COUNT(E135:K135)&gt;4,COUNT(E135:K135)-2,COUNT(E135:K135))),"")</f>
        <v>4.0666666666666664</v>
      </c>
      <c r="O135" s="140">
        <f>IF(COUNT(E135:K135)&gt;0,N135*Opcional2GD,"")</f>
        <v>7.3199999999999994</v>
      </c>
      <c r="P135" s="146"/>
      <c r="Q135" s="143"/>
      <c r="R135" s="111"/>
    </row>
    <row r="136" spans="1:18" x14ac:dyDescent="0.3">
      <c r="A136" s="96">
        <v>33</v>
      </c>
      <c r="B136" s="104" t="s">
        <v>129</v>
      </c>
      <c r="C136" s="103" t="s">
        <v>123</v>
      </c>
      <c r="D136" s="89">
        <f>Obligatoria1Cod</f>
        <v>106</v>
      </c>
      <c r="E136" s="112">
        <v>5.0999999999999996</v>
      </c>
      <c r="F136" s="98">
        <v>5</v>
      </c>
      <c r="G136" s="98">
        <v>5</v>
      </c>
      <c r="H136" s="98">
        <v>4.3</v>
      </c>
      <c r="I136" s="98">
        <v>4.5</v>
      </c>
      <c r="J136" s="98" t="str">
        <f>IF(JuecesPanel&gt;=6,"",IF((JuecesPanel+JuecesCalc)&lt;6,"",IF(COUNT(E136:I136)&gt;0,AVERAGE(E136:I136),"")))</f>
        <v/>
      </c>
      <c r="K136" s="98" t="str">
        <f>IF(JuecesPanel&gt;=7,"",IF((JuecesPanel+JuecesCalc)&lt;7,"",IF(COUNT(E136:J136)&gt;0,AVERAGE(E136:J136),"")))</f>
        <v/>
      </c>
      <c r="L136" s="97">
        <f>IF(COUNT(E136:K136)&gt;4,MAX(E136:K136),"")</f>
        <v>5.0999999999999996</v>
      </c>
      <c r="M136" s="97">
        <f>IF(COUNT(E136:K136)&gt;4,MIN(E136:K136),"")</f>
        <v>4.3</v>
      </c>
      <c r="N136" s="105">
        <f>IF(COUNT(E136:K136)&gt;0,(SUM(E136:K136)-( SUM(L136:M136)  ))/(IF(COUNT(E136:K136)&gt;4,COUNT(E136:K136)-2,COUNT(E136:K136))),"")</f>
        <v>4.833333333333333</v>
      </c>
      <c r="O136" s="138">
        <f>IF(COUNT(E136:K136)&gt;0,N136*Obligatoria1GD,"")</f>
        <v>7.7333333333333334</v>
      </c>
      <c r="P136" s="144"/>
      <c r="Q136" s="141">
        <f>IF(COUNT(E136:K139)&gt;0,SUM(O136:O139),"")</f>
        <v>36.233333333333327</v>
      </c>
      <c r="R136" s="106">
        <f>IF(COUNT(E136:K139)&gt;0,((Q136/TotalGD)*10)-SUM(P136:P139),0)</f>
        <v>50.324074074074062</v>
      </c>
    </row>
    <row r="137" spans="1:18" x14ac:dyDescent="0.3">
      <c r="A137" s="87"/>
      <c r="B137" s="86"/>
      <c r="C137" s="87"/>
      <c r="D137" s="89">
        <f>Obligatoria2Cod</f>
        <v>301</v>
      </c>
      <c r="E137" s="101">
        <v>5.2</v>
      </c>
      <c r="F137" s="25">
        <v>5</v>
      </c>
      <c r="G137" s="25">
        <v>5.2</v>
      </c>
      <c r="H137" s="25">
        <v>5.9</v>
      </c>
      <c r="I137" s="25">
        <v>5</v>
      </c>
      <c r="J137" s="25" t="str">
        <f>IF(JuecesPanel&gt;=6,"",IF((JuecesPanel+JuecesCalc)&lt;6,"",IF(COUNT(E137:I137)&gt;0,AVERAGE(E137:I137),"")))</f>
        <v/>
      </c>
      <c r="K137" s="25" t="str">
        <f>IF(JuecesPanel&gt;=7,"",IF((JuecesPanel+JuecesCalc)&lt;7,"",IF(COUNT(E137:J137)&gt;0,AVERAGE(E137:J137),"")))</f>
        <v/>
      </c>
      <c r="L137" s="25">
        <f>IF(COUNT(E137:K137)&gt;4,MAX(E137:K137),"")</f>
        <v>5.9</v>
      </c>
      <c r="M137" s="25">
        <f>IF(COUNT(E137:K137)&gt;4,MIN(E137:K137),"")</f>
        <v>5</v>
      </c>
      <c r="N137" s="88">
        <f>IF(COUNT(E137:K137)&gt;0,(SUM(E137:K137)-( SUM(L137:M137)  ))/(IF(COUNT(E137:K137)&gt;4,COUNT(E137:K137)-2,COUNT(E137:K137))),"")</f>
        <v>5.133333333333332</v>
      </c>
      <c r="O137" s="139">
        <f>IF(COUNT(E137:K137)&gt;0,N137*Obligatoria2GD,"")</f>
        <v>9.7533333333333303</v>
      </c>
      <c r="P137" s="145"/>
      <c r="Q137" s="142"/>
      <c r="R137" s="107"/>
    </row>
    <row r="138" spans="1:18" x14ac:dyDescent="0.3">
      <c r="A138" s="87"/>
      <c r="B138" s="86"/>
      <c r="C138" s="87"/>
      <c r="D138" s="89">
        <f>Opcional1Cod</f>
        <v>420</v>
      </c>
      <c r="E138" s="113">
        <v>5.0999999999999996</v>
      </c>
      <c r="F138" s="26">
        <v>5</v>
      </c>
      <c r="G138" s="26">
        <v>5.0999999999999996</v>
      </c>
      <c r="H138" s="26">
        <v>5.3</v>
      </c>
      <c r="I138" s="26">
        <v>5</v>
      </c>
      <c r="J138" s="26" t="str">
        <f>IF(JuecesPanel&gt;=6,"",IF((JuecesPanel+JuecesCalc)&lt;6,"",IF(COUNT(E138:I138)&gt;0,AVERAGE(E138:I138),"")))</f>
        <v/>
      </c>
      <c r="K138" s="26" t="str">
        <f>IF(JuecesPanel&gt;=7,"",IF((JuecesPanel+JuecesCalc)&lt;7,"",IF(COUNT(E138:J138)&gt;0,AVERAGE(E138:J138),"")))</f>
        <v/>
      </c>
      <c r="L138" s="25">
        <f>IF(COUNT(E138:K138)&gt;4,MAX(E138:K138),"")</f>
        <v>5.3</v>
      </c>
      <c r="M138" s="25">
        <f>IF(COUNT(E138:K138)&gt;4,MIN(E138:K138),"")</f>
        <v>5</v>
      </c>
      <c r="N138" s="88">
        <f>IF(COUNT(E138:K138)&gt;0,(SUM(E138:K138)-( SUM(L138:M138)  ))/(IF(COUNT(E138:K138)&gt;4,COUNT(E138:K138)-2,COUNT(E138:K138))),"")</f>
        <v>5.0666666666666664</v>
      </c>
      <c r="O138" s="139">
        <f>IF(COUNT(E138:K138)&gt;0,N138*Opcional1GD,"")</f>
        <v>9.6266666666666652</v>
      </c>
      <c r="P138" s="145"/>
      <c r="Q138" s="142"/>
      <c r="R138" s="107"/>
    </row>
    <row r="139" spans="1:18" x14ac:dyDescent="0.3">
      <c r="A139" s="108"/>
      <c r="B139" s="109"/>
      <c r="C139" s="108"/>
      <c r="D139" s="89">
        <f>Opcional2Cod</f>
        <v>327</v>
      </c>
      <c r="E139" s="102">
        <v>5</v>
      </c>
      <c r="F139" s="99">
        <v>4.9000000000000004</v>
      </c>
      <c r="G139" s="99">
        <v>5.2</v>
      </c>
      <c r="H139" s="99">
        <v>5</v>
      </c>
      <c r="I139" s="99">
        <v>5.2</v>
      </c>
      <c r="J139" s="99" t="str">
        <f>IF(JuecesPanel&gt;=6,"",IF((JuecesPanel+JuecesCalc)&lt;6,"",IF(COUNT(E139:I139)&gt;0,AVERAGE(E139:I139),"")))</f>
        <v/>
      </c>
      <c r="K139" s="99" t="str">
        <f>IF(JuecesPanel&gt;=7,"",IF((JuecesPanel+JuecesCalc)&lt;7,"",IF(COUNT(E139:J139)&gt;0,AVERAGE(E139:J139),"")))</f>
        <v/>
      </c>
      <c r="L139" s="99">
        <f>IF(COUNT(E139:K139)&gt;4,MAX(E139:K139),"")</f>
        <v>5.2</v>
      </c>
      <c r="M139" s="99">
        <f>IF(COUNT(E139:K139)&gt;4,MIN(E139:K139),"")</f>
        <v>4.9000000000000004</v>
      </c>
      <c r="N139" s="110">
        <f>IF(COUNT(E139:K139)&gt;0,(SUM(E139:K139)-( SUM(L139:M139)  ))/(IF(COUNT(E139:K139)&gt;4,COUNT(E139:K139)-2,COUNT(E139:K139))),"")</f>
        <v>5.0666666666666664</v>
      </c>
      <c r="O139" s="140">
        <f>IF(COUNT(E139:K139)&gt;0,N139*Opcional2GD,"")</f>
        <v>9.1199999999999992</v>
      </c>
      <c r="P139" s="146"/>
      <c r="Q139" s="143"/>
      <c r="R139" s="111"/>
    </row>
    <row r="140" spans="1:18" x14ac:dyDescent="0.3">
      <c r="A140" s="96">
        <v>34</v>
      </c>
      <c r="B140" s="104" t="s">
        <v>162</v>
      </c>
      <c r="C140" s="103" t="s">
        <v>122</v>
      </c>
      <c r="D140" s="89">
        <f>Obligatoria1Cod</f>
        <v>106</v>
      </c>
      <c r="E140" s="112">
        <v>4.4000000000000004</v>
      </c>
      <c r="F140" s="98">
        <v>4.4000000000000004</v>
      </c>
      <c r="G140" s="98">
        <v>4.2</v>
      </c>
      <c r="H140" s="98">
        <v>4.2</v>
      </c>
      <c r="I140" s="98">
        <v>4.5999999999999996</v>
      </c>
      <c r="J140" s="98" t="str">
        <f>IF(JuecesPanel&gt;=6,"",IF((JuecesPanel+JuecesCalc)&lt;6,"",IF(COUNT(E140:I140)&gt;0,AVERAGE(E140:I140),"")))</f>
        <v/>
      </c>
      <c r="K140" s="98" t="str">
        <f>IF(JuecesPanel&gt;=7,"",IF((JuecesPanel+JuecesCalc)&lt;7,"",IF(COUNT(E140:J140)&gt;0,AVERAGE(E140:J140),"")))</f>
        <v/>
      </c>
      <c r="L140" s="97">
        <f>IF(COUNT(E140:K140)&gt;4,MAX(E140:K140),"")</f>
        <v>4.5999999999999996</v>
      </c>
      <c r="M140" s="97">
        <f>IF(COUNT(E140:K140)&gt;4,MIN(E140:K140),"")</f>
        <v>4.2</v>
      </c>
      <c r="N140" s="105">
        <f>IF(COUNT(E140:K140)&gt;0,(SUM(E140:K140)-( SUM(L140:M140)  ))/(IF(COUNT(E140:K140)&gt;4,COUNT(E140:K140)-2,COUNT(E140:K140))),"")</f>
        <v>4.3333333333333321</v>
      </c>
      <c r="O140" s="138">
        <f>IF(COUNT(E140:K140)&gt;0,N140*Obligatoria1GD,"")</f>
        <v>6.9333333333333318</v>
      </c>
      <c r="P140" s="144"/>
      <c r="Q140" s="141">
        <f>IF(COUNT(E140:K143)&gt;0,SUM(O140:O143),"")</f>
        <v>33.36333333333333</v>
      </c>
      <c r="R140" s="106">
        <f>IF(COUNT(E140:K143)&gt;0,((Q140/TotalGD)*10)-SUM(P140:P143),0)</f>
        <v>46.337962962962955</v>
      </c>
    </row>
    <row r="141" spans="1:18" x14ac:dyDescent="0.3">
      <c r="A141" s="87"/>
      <c r="B141" s="86"/>
      <c r="C141" s="87"/>
      <c r="D141" s="89">
        <f>Obligatoria2Cod</f>
        <v>301</v>
      </c>
      <c r="E141" s="101">
        <v>4.7</v>
      </c>
      <c r="F141" s="25">
        <v>4.0999999999999996</v>
      </c>
      <c r="G141" s="25">
        <v>4.5999999999999996</v>
      </c>
      <c r="H141" s="25">
        <v>4.7</v>
      </c>
      <c r="I141" s="25">
        <v>4.9000000000000004</v>
      </c>
      <c r="J141" s="25" t="str">
        <f>IF(JuecesPanel&gt;=6,"",IF((JuecesPanel+JuecesCalc)&lt;6,"",IF(COUNT(E141:I141)&gt;0,AVERAGE(E141:I141),"")))</f>
        <v/>
      </c>
      <c r="K141" s="25" t="str">
        <f>IF(JuecesPanel&gt;=7,"",IF((JuecesPanel+JuecesCalc)&lt;7,"",IF(COUNT(E141:J141)&gt;0,AVERAGE(E141:J141),"")))</f>
        <v/>
      </c>
      <c r="L141" s="25">
        <f>IF(COUNT(E141:K141)&gt;4,MAX(E141:K141),"")</f>
        <v>4.9000000000000004</v>
      </c>
      <c r="M141" s="25">
        <f>IF(COUNT(E141:K141)&gt;4,MIN(E141:K141),"")</f>
        <v>4.0999999999999996</v>
      </c>
      <c r="N141" s="88">
        <f>IF(COUNT(E141:K141)&gt;0,(SUM(E141:K141)-( SUM(L141:M141)  ))/(IF(COUNT(E141:K141)&gt;4,COUNT(E141:K141)-2,COUNT(E141:K141))),"")</f>
        <v>4.666666666666667</v>
      </c>
      <c r="O141" s="139">
        <f>IF(COUNT(E141:K141)&gt;0,N141*Obligatoria2GD,"")</f>
        <v>8.8666666666666671</v>
      </c>
      <c r="P141" s="145"/>
      <c r="Q141" s="142"/>
      <c r="R141" s="107"/>
    </row>
    <row r="142" spans="1:18" x14ac:dyDescent="0.3">
      <c r="A142" s="87"/>
      <c r="B142" s="86"/>
      <c r="C142" s="87"/>
      <c r="D142" s="89">
        <f>Opcional1Cod</f>
        <v>420</v>
      </c>
      <c r="E142" s="113">
        <v>4.5999999999999996</v>
      </c>
      <c r="F142" s="26">
        <v>4.5</v>
      </c>
      <c r="G142" s="26">
        <v>3.5</v>
      </c>
      <c r="H142" s="26">
        <v>4.8</v>
      </c>
      <c r="I142" s="26">
        <v>5</v>
      </c>
      <c r="J142" s="26" t="str">
        <f>IF(JuecesPanel&gt;=6,"",IF((JuecesPanel+JuecesCalc)&lt;6,"",IF(COUNT(E142:I142)&gt;0,AVERAGE(E142:I142),"")))</f>
        <v/>
      </c>
      <c r="K142" s="26" t="str">
        <f>IF(JuecesPanel&gt;=7,"",IF((JuecesPanel+JuecesCalc)&lt;7,"",IF(COUNT(E142:J142)&gt;0,AVERAGE(E142:J142),"")))</f>
        <v/>
      </c>
      <c r="L142" s="25">
        <f>IF(COUNT(E142:K142)&gt;4,MAX(E142:K142),"")</f>
        <v>5</v>
      </c>
      <c r="M142" s="25">
        <f>IF(COUNT(E142:K142)&gt;4,MIN(E142:K142),"")</f>
        <v>3.5</v>
      </c>
      <c r="N142" s="88">
        <f>IF(COUNT(E142:K142)&gt;0,(SUM(E142:K142)-( SUM(L142:M142)  ))/(IF(COUNT(E142:K142)&gt;4,COUNT(E142:K142)-2,COUNT(E142:K142))),"")</f>
        <v>4.6333333333333329</v>
      </c>
      <c r="O142" s="139">
        <f>IF(COUNT(E142:K142)&gt;0,N142*Opcional1GD,"")</f>
        <v>8.8033333333333328</v>
      </c>
      <c r="P142" s="145"/>
      <c r="Q142" s="142"/>
      <c r="R142" s="107"/>
    </row>
    <row r="143" spans="1:18" x14ac:dyDescent="0.3">
      <c r="A143" s="108"/>
      <c r="B143" s="109"/>
      <c r="C143" s="108"/>
      <c r="D143" s="89">
        <f>Opcional2Cod</f>
        <v>327</v>
      </c>
      <c r="E143" s="102">
        <v>4.8</v>
      </c>
      <c r="F143" s="99">
        <v>5</v>
      </c>
      <c r="G143" s="99">
        <v>4.7</v>
      </c>
      <c r="H143" s="99">
        <v>4.9000000000000004</v>
      </c>
      <c r="I143" s="99">
        <v>4.9000000000000004</v>
      </c>
      <c r="J143" s="99" t="str">
        <f>IF(JuecesPanel&gt;=6,"",IF((JuecesPanel+JuecesCalc)&lt;6,"",IF(COUNT(E143:I143)&gt;0,AVERAGE(E143:I143),"")))</f>
        <v/>
      </c>
      <c r="K143" s="99" t="str">
        <f>IF(JuecesPanel&gt;=7,"",IF((JuecesPanel+JuecesCalc)&lt;7,"",IF(COUNT(E143:J143)&gt;0,AVERAGE(E143:J143),"")))</f>
        <v/>
      </c>
      <c r="L143" s="99">
        <f>IF(COUNT(E143:K143)&gt;4,MAX(E143:K143),"")</f>
        <v>5</v>
      </c>
      <c r="M143" s="99">
        <f>IF(COUNT(E143:K143)&gt;4,MIN(E143:K143),"")</f>
        <v>4.7</v>
      </c>
      <c r="N143" s="110">
        <f>IF(COUNT(E143:K143)&gt;0,(SUM(E143:K143)-( SUM(L143:M143)  ))/(IF(COUNT(E143:K143)&gt;4,COUNT(E143:K143)-2,COUNT(E143:K143))),"")</f>
        <v>4.8666666666666663</v>
      </c>
      <c r="O143" s="140">
        <f>IF(COUNT(E143:K143)&gt;0,N143*Opcional2GD,"")</f>
        <v>8.76</v>
      </c>
      <c r="P143" s="146"/>
      <c r="Q143" s="143"/>
      <c r="R143" s="111"/>
    </row>
    <row r="144" spans="1:18" x14ac:dyDescent="0.3">
      <c r="A144" s="96">
        <v>35</v>
      </c>
      <c r="B144" s="104" t="s">
        <v>163</v>
      </c>
      <c r="C144" s="103" t="s">
        <v>123</v>
      </c>
      <c r="D144" s="89">
        <f>Obligatoria1Cod</f>
        <v>106</v>
      </c>
      <c r="E144" s="112">
        <v>5.2</v>
      </c>
      <c r="F144" s="98">
        <v>5</v>
      </c>
      <c r="G144" s="98">
        <v>4.9000000000000004</v>
      </c>
      <c r="H144" s="98">
        <v>5.7</v>
      </c>
      <c r="I144" s="98">
        <v>4.8</v>
      </c>
      <c r="J144" s="98" t="str">
        <f>IF(JuecesPanel&gt;=6,"",IF((JuecesPanel+JuecesCalc)&lt;6,"",IF(COUNT(E144:I144)&gt;0,AVERAGE(E144:I144),"")))</f>
        <v/>
      </c>
      <c r="K144" s="98" t="str">
        <f>IF(JuecesPanel&gt;=7,"",IF((JuecesPanel+JuecesCalc)&lt;7,"",IF(COUNT(E144:J144)&gt;0,AVERAGE(E144:J144),"")))</f>
        <v/>
      </c>
      <c r="L144" s="97">
        <f>IF(COUNT(E144:K144)&gt;4,MAX(E144:K144),"")</f>
        <v>5.7</v>
      </c>
      <c r="M144" s="97">
        <f>IF(COUNT(E144:K144)&gt;4,MIN(E144:K144),"")</f>
        <v>4.8</v>
      </c>
      <c r="N144" s="105">
        <f>IF(COUNT(E144:K144)&gt;0,(SUM(E144:K144)-( SUM(L144:M144)  ))/(IF(COUNT(E144:K144)&gt;4,COUNT(E144:K144)-2,COUNT(E144:K144))),"")</f>
        <v>5.0333333333333341</v>
      </c>
      <c r="O144" s="138">
        <f>IF(COUNT(E144:K144)&gt;0,N144*Obligatoria1GD,"")</f>
        <v>8.0533333333333346</v>
      </c>
      <c r="P144" s="144"/>
      <c r="Q144" s="141">
        <f>IF(COUNT(E144:K147)&gt;0,SUM(O144:O147),"")</f>
        <v>36.426666666666662</v>
      </c>
      <c r="R144" s="106">
        <f>IF(COUNT(E144:K147)&gt;0,((Q144/TotalGD)*10)-SUM(P144:P147),0)</f>
        <v>50.592592592592581</v>
      </c>
    </row>
    <row r="145" spans="1:18" x14ac:dyDescent="0.3">
      <c r="A145" s="87"/>
      <c r="B145" s="86"/>
      <c r="C145" s="87"/>
      <c r="D145" s="89">
        <f>Obligatoria2Cod</f>
        <v>301</v>
      </c>
      <c r="E145" s="101">
        <v>4.9000000000000004</v>
      </c>
      <c r="F145" s="25">
        <v>4.9000000000000004</v>
      </c>
      <c r="G145" s="25">
        <v>5</v>
      </c>
      <c r="H145" s="25">
        <v>5.4</v>
      </c>
      <c r="I145" s="25">
        <v>5.0999999999999996</v>
      </c>
      <c r="J145" s="25" t="str">
        <f>IF(JuecesPanel&gt;=6,"",IF((JuecesPanel+JuecesCalc)&lt;6,"",IF(COUNT(E145:I145)&gt;0,AVERAGE(E145:I145),"")))</f>
        <v/>
      </c>
      <c r="K145" s="25" t="str">
        <f>IF(JuecesPanel&gt;=7,"",IF((JuecesPanel+JuecesCalc)&lt;7,"",IF(COUNT(E145:J145)&gt;0,AVERAGE(E145:J145),"")))</f>
        <v/>
      </c>
      <c r="L145" s="25">
        <f>IF(COUNT(E145:K145)&gt;4,MAX(E145:K145),"")</f>
        <v>5.4</v>
      </c>
      <c r="M145" s="25">
        <f>IF(COUNT(E145:K145)&gt;4,MIN(E145:K145),"")</f>
        <v>4.9000000000000004</v>
      </c>
      <c r="N145" s="88">
        <f>IF(COUNT(E145:K145)&gt;0,(SUM(E145:K145)-( SUM(L145:M145)  ))/(IF(COUNT(E145:K145)&gt;4,COUNT(E145:K145)-2,COUNT(E145:K145))),"")</f>
        <v>5.0000000000000009</v>
      </c>
      <c r="O145" s="139">
        <f>IF(COUNT(E145:K145)&gt;0,N145*Obligatoria2GD,"")</f>
        <v>9.5000000000000018</v>
      </c>
      <c r="P145" s="145"/>
      <c r="Q145" s="142"/>
      <c r="R145" s="107"/>
    </row>
    <row r="146" spans="1:18" x14ac:dyDescent="0.3">
      <c r="A146" s="87"/>
      <c r="B146" s="86"/>
      <c r="C146" s="87"/>
      <c r="D146" s="89">
        <f>Opcional1Cod</f>
        <v>420</v>
      </c>
      <c r="E146" s="113">
        <v>5.0999999999999996</v>
      </c>
      <c r="F146" s="26">
        <v>5.0999999999999996</v>
      </c>
      <c r="G146" s="26">
        <v>5.2</v>
      </c>
      <c r="H146" s="26">
        <v>5.2</v>
      </c>
      <c r="I146" s="26">
        <v>4.7</v>
      </c>
      <c r="J146" s="26" t="str">
        <f>IF(JuecesPanel&gt;=6,"",IF((JuecesPanel+JuecesCalc)&lt;6,"",IF(COUNT(E146:I146)&gt;0,AVERAGE(E146:I146),"")))</f>
        <v/>
      </c>
      <c r="K146" s="26" t="str">
        <f>IF(JuecesPanel&gt;=7,"",IF((JuecesPanel+JuecesCalc)&lt;7,"",IF(COUNT(E146:J146)&gt;0,AVERAGE(E146:J146),"")))</f>
        <v/>
      </c>
      <c r="L146" s="25">
        <f>IF(COUNT(E146:K146)&gt;4,MAX(E146:K146),"")</f>
        <v>5.2</v>
      </c>
      <c r="M146" s="25">
        <f>IF(COUNT(E146:K146)&gt;4,MIN(E146:K146),"")</f>
        <v>4.7</v>
      </c>
      <c r="N146" s="88">
        <f>IF(COUNT(E146:K146)&gt;0,(SUM(E146:K146)-( SUM(L146:M146)  ))/(IF(COUNT(E146:K146)&gt;4,COUNT(E146:K146)-2,COUNT(E146:K146))),"")</f>
        <v>5.133333333333332</v>
      </c>
      <c r="O146" s="139">
        <f>IF(COUNT(E146:K146)&gt;0,N146*Opcional1GD,"")</f>
        <v>9.7533333333333303</v>
      </c>
      <c r="P146" s="145"/>
      <c r="Q146" s="142"/>
      <c r="R146" s="107"/>
    </row>
    <row r="147" spans="1:18" x14ac:dyDescent="0.3">
      <c r="A147" s="108"/>
      <c r="B147" s="109"/>
      <c r="C147" s="108"/>
      <c r="D147" s="89">
        <f>Opcional2Cod</f>
        <v>327</v>
      </c>
      <c r="E147" s="102">
        <v>5</v>
      </c>
      <c r="F147" s="99">
        <v>5</v>
      </c>
      <c r="G147" s="99">
        <v>5.6</v>
      </c>
      <c r="H147" s="99">
        <v>5.2</v>
      </c>
      <c r="I147" s="99">
        <v>4.9000000000000004</v>
      </c>
      <c r="J147" s="99" t="str">
        <f>IF(JuecesPanel&gt;=6,"",IF((JuecesPanel+JuecesCalc)&lt;6,"",IF(COUNT(E147:I147)&gt;0,AVERAGE(E147:I147),"")))</f>
        <v/>
      </c>
      <c r="K147" s="99" t="str">
        <f>IF(JuecesPanel&gt;=7,"",IF((JuecesPanel+JuecesCalc)&lt;7,"",IF(COUNT(E147:J147)&gt;0,AVERAGE(E147:J147),"")))</f>
        <v/>
      </c>
      <c r="L147" s="99">
        <f>IF(COUNT(E147:K147)&gt;4,MAX(E147:K147),"")</f>
        <v>5.6</v>
      </c>
      <c r="M147" s="99">
        <f>IF(COUNT(E147:K147)&gt;4,MIN(E147:K147),"")</f>
        <v>4.9000000000000004</v>
      </c>
      <c r="N147" s="110">
        <f>IF(COUNT(E147:K147)&gt;0,(SUM(E147:K147)-( SUM(L147:M147)  ))/(IF(COUNT(E147:K147)&gt;4,COUNT(E147:K147)-2,COUNT(E147:K147))),"")</f>
        <v>5.0666666666666673</v>
      </c>
      <c r="O147" s="140">
        <f>IF(COUNT(E147:K147)&gt;0,N147*Opcional2GD,"")</f>
        <v>9.120000000000001</v>
      </c>
      <c r="P147" s="146"/>
      <c r="Q147" s="143"/>
      <c r="R147" s="111"/>
    </row>
    <row r="148" spans="1:18" x14ac:dyDescent="0.3">
      <c r="A148" s="96">
        <v>36</v>
      </c>
      <c r="B148" s="104" t="s">
        <v>164</v>
      </c>
      <c r="C148" s="103" t="s">
        <v>122</v>
      </c>
      <c r="D148" s="89">
        <f>Obligatoria1Cod</f>
        <v>106</v>
      </c>
      <c r="E148" s="112">
        <v>2.2000000000000002</v>
      </c>
      <c r="F148" s="98">
        <v>2.5</v>
      </c>
      <c r="G148" s="98">
        <v>2.8</v>
      </c>
      <c r="H148" s="98">
        <v>2.5</v>
      </c>
      <c r="I148" s="98">
        <v>2.5</v>
      </c>
      <c r="J148" s="98" t="str">
        <f>IF(JuecesPanel&gt;=6,"",IF((JuecesPanel+JuecesCalc)&lt;6,"",IF(COUNT(E148:I148)&gt;0,AVERAGE(E148:I148),"")))</f>
        <v/>
      </c>
      <c r="K148" s="98" t="str">
        <f>IF(JuecesPanel&gt;=7,"",IF((JuecesPanel+JuecesCalc)&lt;7,"",IF(COUNT(E148:J148)&gt;0,AVERAGE(E148:J148),"")))</f>
        <v/>
      </c>
      <c r="L148" s="97">
        <f>IF(COUNT(E148:K148)&gt;4,MAX(E148:K148),"")</f>
        <v>2.8</v>
      </c>
      <c r="M148" s="97">
        <f>IF(COUNT(E148:K148)&gt;4,MIN(E148:K148),"")</f>
        <v>2.2000000000000002</v>
      </c>
      <c r="N148" s="105">
        <f>IF(COUNT(E148:K148)&gt;0,(SUM(E148:K148)-( SUM(L148:M148)  ))/(IF(COUNT(E148:K148)&gt;4,COUNT(E148:K148)-2,COUNT(E148:K148))),"")</f>
        <v>2.5</v>
      </c>
      <c r="O148" s="138">
        <f>IF(COUNT(E148:K148)&gt;0,N148*Obligatoria1GD,"")</f>
        <v>4</v>
      </c>
      <c r="P148" s="144"/>
      <c r="Q148" s="141">
        <f>IF(COUNT(E148:K151)&gt;0,SUM(O148:O151),"")</f>
        <v>4</v>
      </c>
      <c r="R148" s="106">
        <f>IF(COUNT(E148:K151)&gt;0,((Q148/TotalGD)*10)-SUM(P148:P151),0)</f>
        <v>5.5555555555555554</v>
      </c>
    </row>
    <row r="149" spans="1:18" x14ac:dyDescent="0.3">
      <c r="A149" s="87"/>
      <c r="B149" s="86"/>
      <c r="C149" s="87"/>
      <c r="D149" s="89">
        <f>Obligatoria2Cod</f>
        <v>301</v>
      </c>
      <c r="E149" s="101">
        <v>0</v>
      </c>
      <c r="F149" s="25">
        <v>0</v>
      </c>
      <c r="G149" s="25">
        <v>0</v>
      </c>
      <c r="H149" s="25">
        <v>0</v>
      </c>
      <c r="I149" s="25">
        <v>0</v>
      </c>
      <c r="J149" s="25" t="str">
        <f>IF(JuecesPanel&gt;=6,"",IF((JuecesPanel+JuecesCalc)&lt;6,"",IF(COUNT(E149:I149)&gt;0,AVERAGE(E149:I149),"")))</f>
        <v/>
      </c>
      <c r="K149" s="25" t="str">
        <f>IF(JuecesPanel&gt;=7,"",IF((JuecesPanel+JuecesCalc)&lt;7,"",IF(COUNT(E149:J149)&gt;0,AVERAGE(E149:J149),"")))</f>
        <v/>
      </c>
      <c r="L149" s="25">
        <f>IF(COUNT(E149:K149)&gt;4,MAX(E149:K149),"")</f>
        <v>0</v>
      </c>
      <c r="M149" s="25">
        <f>IF(COUNT(E149:K149)&gt;4,MIN(E149:K149),"")</f>
        <v>0</v>
      </c>
      <c r="N149" s="88">
        <f>IF(COUNT(E149:K149)&gt;0,(SUM(E149:K149)-( SUM(L149:M149)  ))/(IF(COUNT(E149:K149)&gt;4,COUNT(E149:K149)-2,COUNT(E149:K149))),"")</f>
        <v>0</v>
      </c>
      <c r="O149" s="139">
        <f>IF(COUNT(E149:K149)&gt;0,N149*Obligatoria2GD,"")</f>
        <v>0</v>
      </c>
      <c r="P149" s="145"/>
      <c r="Q149" s="142"/>
      <c r="R149" s="107"/>
    </row>
    <row r="150" spans="1:18" x14ac:dyDescent="0.3">
      <c r="A150" s="87"/>
      <c r="B150" s="86"/>
      <c r="C150" s="87"/>
      <c r="D150" s="89">
        <f>Opcional1Cod</f>
        <v>420</v>
      </c>
      <c r="E150" s="233"/>
      <c r="F150" s="234"/>
      <c r="G150" s="234" t="str">
        <f>IF(JuecesPanel&gt;=3,"",IF((JuecesPanel+JuecesCalc)&lt;3,"",IF(COUNT(E150:F150)&gt;0,AVERAGE(E150:F150),"")))</f>
        <v/>
      </c>
      <c r="H150" s="234" t="str">
        <f>IF(JuecesPanel&gt;=4,"",IF((JuecesPanel+JuecesCalc)&lt;4,"",IF(COUNT(E150:G150)&gt;0,AVERAGE(E150:G150),"")))</f>
        <v/>
      </c>
      <c r="I150" s="234" t="str">
        <f>IF(JuecesPanel&gt;=5,"",IF((JuecesPanel+JuecesCalc)&lt;5,"",IF(COUNT(E150:H150)&gt;0,AVERAGE(E150:H150),"")))</f>
        <v/>
      </c>
      <c r="J150" s="234" t="str">
        <f>IF(JuecesPanel&gt;=6,"",IF((JuecesPanel+JuecesCalc)&lt;6,"",IF(COUNT(E150:I150)&gt;0,AVERAGE(E150:I150),"")))</f>
        <v/>
      </c>
      <c r="K150" s="234" t="str">
        <f>IF(JuecesPanel&gt;=7,"",IF((JuecesPanel+JuecesCalc)&lt;7,"",IF(COUNT(E150:J150)&gt;0,AVERAGE(E150:J150),"")))</f>
        <v/>
      </c>
      <c r="L150" s="234" t="str">
        <f>IF(COUNT(E150:K150)&gt;4,MAX(E150:K150),"")</f>
        <v/>
      </c>
      <c r="M150" s="234" t="str">
        <f>IF(COUNT(E150:K150)&gt;4,MIN(E150:K150),"")</f>
        <v/>
      </c>
      <c r="N150" s="235" t="str">
        <f>IF(COUNT(E150:K150)&gt;0,(SUM(E150:K150)-( SUM(L150:M150)  ))/(IF(COUNT(E150:K150)&gt;4,COUNT(E150:K150)-2,COUNT(E150:K150))),"")</f>
        <v/>
      </c>
      <c r="O150" s="236" t="str">
        <f>IF(COUNT(E150:K150)&gt;0,N150*Opcional1GD,"")</f>
        <v/>
      </c>
      <c r="P150" s="237"/>
      <c r="Q150" s="142"/>
      <c r="R150" s="107"/>
    </row>
    <row r="151" spans="1:18" x14ac:dyDescent="0.3">
      <c r="A151" s="108"/>
      <c r="B151" s="109"/>
      <c r="C151" s="108"/>
      <c r="D151" s="89">
        <f>Opcional2Cod</f>
        <v>327</v>
      </c>
      <c r="E151" s="238"/>
      <c r="F151" s="239"/>
      <c r="G151" s="239" t="str">
        <f>IF(JuecesPanel&gt;=3,"",IF((JuecesPanel+JuecesCalc)&lt;3,"",IF(COUNT(E151:F151)&gt;0,AVERAGE(E151:F151),"")))</f>
        <v/>
      </c>
      <c r="H151" s="239" t="str">
        <f>IF(JuecesPanel&gt;=4,"",IF((JuecesPanel+JuecesCalc)&lt;4,"",IF(COUNT(E151:G151)&gt;0,AVERAGE(E151:G151),"")))</f>
        <v/>
      </c>
      <c r="I151" s="239" t="str">
        <f>IF(JuecesPanel&gt;=5,"",IF((JuecesPanel+JuecesCalc)&lt;5,"",IF(COUNT(E151:H151)&gt;0,AVERAGE(E151:H151),"")))</f>
        <v/>
      </c>
      <c r="J151" s="239" t="str">
        <f>IF(JuecesPanel&gt;=6,"",IF((JuecesPanel+JuecesCalc)&lt;6,"",IF(COUNT(E151:I151)&gt;0,AVERAGE(E151:I151),"")))</f>
        <v/>
      </c>
      <c r="K151" s="239" t="str">
        <f>IF(JuecesPanel&gt;=7,"",IF((JuecesPanel+JuecesCalc)&lt;7,"",IF(COUNT(E151:J151)&gt;0,AVERAGE(E151:J151),"")))</f>
        <v/>
      </c>
      <c r="L151" s="239" t="str">
        <f>IF(COUNT(E151:K151)&gt;4,MAX(E151:K151),"")</f>
        <v/>
      </c>
      <c r="M151" s="239" t="str">
        <f>IF(COUNT(E151:K151)&gt;4,MIN(E151:K151),"")</f>
        <v/>
      </c>
      <c r="N151" s="240" t="str">
        <f>IF(COUNT(E151:K151)&gt;0,(SUM(E151:K151)-( SUM(L151:M151)  ))/(IF(COUNT(E151:K151)&gt;4,COUNT(E151:K151)-2,COUNT(E151:K151))),"")</f>
        <v/>
      </c>
      <c r="O151" s="241" t="str">
        <f>IF(COUNT(E151:K151)&gt;0,N151*Opcional2GD,"")</f>
        <v/>
      </c>
      <c r="P151" s="242"/>
      <c r="Q151" s="143"/>
      <c r="R151" s="111"/>
    </row>
    <row r="152" spans="1:18" x14ac:dyDescent="0.3">
      <c r="A152" s="96">
        <v>37</v>
      </c>
      <c r="B152" s="104" t="s">
        <v>165</v>
      </c>
      <c r="C152" s="103" t="s">
        <v>123</v>
      </c>
      <c r="D152" s="89">
        <f>Obligatoria1Cod</f>
        <v>106</v>
      </c>
      <c r="E152" s="112">
        <v>5</v>
      </c>
      <c r="F152" s="98">
        <v>4.0999999999999996</v>
      </c>
      <c r="G152" s="98">
        <v>5</v>
      </c>
      <c r="H152" s="98">
        <v>5.5</v>
      </c>
      <c r="I152" s="98">
        <v>4.2</v>
      </c>
      <c r="J152" s="98" t="str">
        <f>IF(JuecesPanel&gt;=6,"",IF((JuecesPanel+JuecesCalc)&lt;6,"",IF(COUNT(E152:I152)&gt;0,AVERAGE(E152:I152),"")))</f>
        <v/>
      </c>
      <c r="K152" s="98" t="str">
        <f>IF(JuecesPanel&gt;=7,"",IF((JuecesPanel+JuecesCalc)&lt;7,"",IF(COUNT(E152:J152)&gt;0,AVERAGE(E152:J152),"")))</f>
        <v/>
      </c>
      <c r="L152" s="97">
        <f>IF(COUNT(E152:K152)&gt;4,MAX(E152:K152),"")</f>
        <v>5.5</v>
      </c>
      <c r="M152" s="97">
        <f>IF(COUNT(E152:K152)&gt;4,MIN(E152:K152),"")</f>
        <v>4.0999999999999996</v>
      </c>
      <c r="N152" s="105">
        <f>IF(COUNT(E152:K152)&gt;0,(SUM(E152:K152)-( SUM(L152:M152)  ))/(IF(COUNT(E152:K152)&gt;4,COUNT(E152:K152)-2,COUNT(E152:K152))),"")</f>
        <v>4.7333333333333334</v>
      </c>
      <c r="O152" s="138">
        <f>IF(COUNT(E152:K152)&gt;0,N152*Obligatoria1GD,"")</f>
        <v>7.5733333333333341</v>
      </c>
      <c r="P152" s="144"/>
      <c r="Q152" s="141">
        <f>IF(COUNT(E152:K155)&gt;0,SUM(O152:O155),"")</f>
        <v>36.82</v>
      </c>
      <c r="R152" s="106">
        <f>IF(COUNT(E152:K155)&gt;0,((Q152/TotalGD)*10)-SUM(P152:P155),0)</f>
        <v>51.138888888888886</v>
      </c>
    </row>
    <row r="153" spans="1:18" x14ac:dyDescent="0.3">
      <c r="A153" s="87"/>
      <c r="B153" s="86"/>
      <c r="C153" s="87"/>
      <c r="D153" s="89">
        <f>Obligatoria2Cod</f>
        <v>301</v>
      </c>
      <c r="E153" s="101">
        <v>5.5</v>
      </c>
      <c r="F153" s="25">
        <v>5.3</v>
      </c>
      <c r="G153" s="25">
        <v>5.7</v>
      </c>
      <c r="H153" s="25">
        <v>5.8</v>
      </c>
      <c r="I153" s="25">
        <v>5.7</v>
      </c>
      <c r="J153" s="25" t="str">
        <f>IF(JuecesPanel&gt;=6,"",IF((JuecesPanel+JuecesCalc)&lt;6,"",IF(COUNT(E153:I153)&gt;0,AVERAGE(E153:I153),"")))</f>
        <v/>
      </c>
      <c r="K153" s="25" t="str">
        <f>IF(JuecesPanel&gt;=7,"",IF((JuecesPanel+JuecesCalc)&lt;7,"",IF(COUNT(E153:J153)&gt;0,AVERAGE(E153:J153),"")))</f>
        <v/>
      </c>
      <c r="L153" s="25">
        <f>IF(COUNT(E153:K153)&gt;4,MAX(E153:K153),"")</f>
        <v>5.8</v>
      </c>
      <c r="M153" s="25">
        <f>IF(COUNT(E153:K153)&gt;4,MIN(E153:K153),"")</f>
        <v>5.3</v>
      </c>
      <c r="N153" s="88">
        <f>IF(COUNT(E153:K153)&gt;0,(SUM(E153:K153)-( SUM(L153:M153)  ))/(IF(COUNT(E153:K153)&gt;4,COUNT(E153:K153)-2,COUNT(E153:K153))),"")</f>
        <v>5.6333333333333329</v>
      </c>
      <c r="O153" s="139">
        <f>IF(COUNT(E153:K153)&gt;0,N153*Obligatoria2GD,"")</f>
        <v>10.703333333333331</v>
      </c>
      <c r="P153" s="145"/>
      <c r="Q153" s="142"/>
      <c r="R153" s="107"/>
    </row>
    <row r="154" spans="1:18" x14ac:dyDescent="0.3">
      <c r="A154" s="87"/>
      <c r="B154" s="86"/>
      <c r="C154" s="87"/>
      <c r="D154" s="89">
        <f>Opcional1Cod</f>
        <v>420</v>
      </c>
      <c r="E154" s="113">
        <v>4.9000000000000004</v>
      </c>
      <c r="F154" s="26">
        <v>4.5999999999999996</v>
      </c>
      <c r="G154" s="26">
        <v>5</v>
      </c>
      <c r="H154" s="26">
        <v>5</v>
      </c>
      <c r="I154" s="26">
        <v>4.5999999999999996</v>
      </c>
      <c r="J154" s="26" t="str">
        <f>IF(JuecesPanel&gt;=6,"",IF((JuecesPanel+JuecesCalc)&lt;6,"",IF(COUNT(E154:I154)&gt;0,AVERAGE(E154:I154),"")))</f>
        <v/>
      </c>
      <c r="K154" s="26" t="str">
        <f>IF(JuecesPanel&gt;=7,"",IF((JuecesPanel+JuecesCalc)&lt;7,"",IF(COUNT(E154:J154)&gt;0,AVERAGE(E154:J154),"")))</f>
        <v/>
      </c>
      <c r="L154" s="25">
        <f>IF(COUNT(E154:K154)&gt;4,MAX(E154:K154),"")</f>
        <v>5</v>
      </c>
      <c r="M154" s="25">
        <f>IF(COUNT(E154:K154)&gt;4,MIN(E154:K154),"")</f>
        <v>4.5999999999999996</v>
      </c>
      <c r="N154" s="88">
        <f>IF(COUNT(E154:K154)&gt;0,(SUM(E154:K154)-( SUM(L154:M154)  ))/(IF(COUNT(E154:K154)&gt;4,COUNT(E154:K154)-2,COUNT(E154:K154))),"")</f>
        <v>4.8333333333333339</v>
      </c>
      <c r="O154" s="139">
        <f>IF(COUNT(E154:K154)&gt;0,N154*Opcional1GD,"")</f>
        <v>9.1833333333333336</v>
      </c>
      <c r="P154" s="145"/>
      <c r="Q154" s="142"/>
      <c r="R154" s="107"/>
    </row>
    <row r="155" spans="1:18" x14ac:dyDescent="0.3">
      <c r="A155" s="108"/>
      <c r="B155" s="109"/>
      <c r="C155" s="108"/>
      <c r="D155" s="89">
        <f>Opcional2Cod</f>
        <v>327</v>
      </c>
      <c r="E155" s="102">
        <v>5.0999999999999996</v>
      </c>
      <c r="F155" s="99">
        <v>5.0999999999999996</v>
      </c>
      <c r="G155" s="99">
        <v>5.0999999999999996</v>
      </c>
      <c r="H155" s="99">
        <v>5.4</v>
      </c>
      <c r="I155" s="99">
        <v>5.5</v>
      </c>
      <c r="J155" s="99" t="str">
        <f>IF(JuecesPanel&gt;=6,"",IF((JuecesPanel+JuecesCalc)&lt;6,"",IF(COUNT(E155:I155)&gt;0,AVERAGE(E155:I155),"")))</f>
        <v/>
      </c>
      <c r="K155" s="99" t="str">
        <f>IF(JuecesPanel&gt;=7,"",IF((JuecesPanel+JuecesCalc)&lt;7,"",IF(COUNT(E155:J155)&gt;0,AVERAGE(E155:J155),"")))</f>
        <v/>
      </c>
      <c r="L155" s="99">
        <f>IF(COUNT(E155:K155)&gt;4,MAX(E155:K155),"")</f>
        <v>5.5</v>
      </c>
      <c r="M155" s="99">
        <f>IF(COUNT(E155:K155)&gt;4,MIN(E155:K155),"")</f>
        <v>5.0999999999999996</v>
      </c>
      <c r="N155" s="110">
        <f>IF(COUNT(E155:K155)&gt;0,(SUM(E155:K155)-( SUM(L155:M155)  ))/(IF(COUNT(E155:K155)&gt;4,COUNT(E155:K155)-2,COUNT(E155:K155))),"")</f>
        <v>5.2</v>
      </c>
      <c r="O155" s="140">
        <f>IF(COUNT(E155:K155)&gt;0,N155*Opcional2GD,"")</f>
        <v>9.3600000000000012</v>
      </c>
      <c r="P155" s="146"/>
      <c r="Q155" s="143"/>
      <c r="R155" s="111"/>
    </row>
    <row r="156" spans="1:18" x14ac:dyDescent="0.3">
      <c r="A156" s="96">
        <v>38</v>
      </c>
      <c r="B156" s="104" t="s">
        <v>166</v>
      </c>
      <c r="C156" s="103" t="s">
        <v>121</v>
      </c>
      <c r="D156" s="89">
        <f>Obligatoria1Cod</f>
        <v>106</v>
      </c>
      <c r="E156" s="112">
        <v>2.9</v>
      </c>
      <c r="F156" s="98">
        <v>3</v>
      </c>
      <c r="G156" s="98">
        <v>3.2</v>
      </c>
      <c r="H156" s="98">
        <v>4.0999999999999996</v>
      </c>
      <c r="I156" s="98">
        <v>4</v>
      </c>
      <c r="J156" s="98" t="str">
        <f>IF(JuecesPanel&gt;=6,"",IF((JuecesPanel+JuecesCalc)&lt;6,"",IF(COUNT(E156:I156)&gt;0,AVERAGE(E156:I156),"")))</f>
        <v/>
      </c>
      <c r="K156" s="98" t="str">
        <f>IF(JuecesPanel&gt;=7,"",IF((JuecesPanel+JuecesCalc)&lt;7,"",IF(COUNT(E156:J156)&gt;0,AVERAGE(E156:J156),"")))</f>
        <v/>
      </c>
      <c r="L156" s="97">
        <f>IF(COUNT(E156:K156)&gt;4,MAX(E156:K156),"")</f>
        <v>4.0999999999999996</v>
      </c>
      <c r="M156" s="97">
        <f>IF(COUNT(E156:K156)&gt;4,MIN(E156:K156),"")</f>
        <v>2.9</v>
      </c>
      <c r="N156" s="105">
        <f>IF(COUNT(E156:K156)&gt;0,(SUM(E156:K156)-( SUM(L156:M156)  ))/(IF(COUNT(E156:K156)&gt;4,COUNT(E156:K156)-2,COUNT(E156:K156))),"")</f>
        <v>3.4000000000000008</v>
      </c>
      <c r="O156" s="138">
        <f>IF(COUNT(E156:K156)&gt;0,N156*Obligatoria1GD,"")</f>
        <v>5.4400000000000013</v>
      </c>
      <c r="P156" s="144"/>
      <c r="Q156" s="141">
        <f>IF(COUNT(E156:K159)&gt;0,SUM(O156:O159),"")</f>
        <v>25.386666666666667</v>
      </c>
      <c r="R156" s="106">
        <f>IF(COUNT(E156:K159)&gt;0,((Q156/TotalGD)*10)-SUM(P156:P159),0)</f>
        <v>35.25925925925926</v>
      </c>
    </row>
    <row r="157" spans="1:18" x14ac:dyDescent="0.3">
      <c r="A157" s="87"/>
      <c r="B157" s="86"/>
      <c r="C157" s="87"/>
      <c r="D157" s="89">
        <f>Obligatoria2Cod</f>
        <v>301</v>
      </c>
      <c r="E157" s="101">
        <v>3.8</v>
      </c>
      <c r="F157" s="25">
        <v>3.7</v>
      </c>
      <c r="G157" s="25">
        <v>4.5999999999999996</v>
      </c>
      <c r="H157" s="25">
        <v>4.3</v>
      </c>
      <c r="I157" s="25">
        <v>4.5</v>
      </c>
      <c r="J157" s="25" t="str">
        <f>IF(JuecesPanel&gt;=6,"",IF((JuecesPanel+JuecesCalc)&lt;6,"",IF(COUNT(E157:I157)&gt;0,AVERAGE(E157:I157),"")))</f>
        <v/>
      </c>
      <c r="K157" s="25" t="str">
        <f>IF(JuecesPanel&gt;=7,"",IF((JuecesPanel+JuecesCalc)&lt;7,"",IF(COUNT(E157:J157)&gt;0,AVERAGE(E157:J157),"")))</f>
        <v/>
      </c>
      <c r="L157" s="25">
        <f>IF(COUNT(E157:K157)&gt;4,MAX(E157:K157),"")</f>
        <v>4.5999999999999996</v>
      </c>
      <c r="M157" s="25">
        <f>IF(COUNT(E157:K157)&gt;4,MIN(E157:K157),"")</f>
        <v>3.7</v>
      </c>
      <c r="N157" s="88">
        <f>IF(COUNT(E157:K157)&gt;0,(SUM(E157:K157)-( SUM(L157:M157)  ))/(IF(COUNT(E157:K157)&gt;4,COUNT(E157:K157)-2,COUNT(E157:K157))),"")</f>
        <v>4.1999999999999993</v>
      </c>
      <c r="O157" s="139">
        <f>IF(COUNT(E157:K157)&gt;0,N157*Obligatoria2GD,"")</f>
        <v>7.9799999999999986</v>
      </c>
      <c r="P157" s="145"/>
      <c r="Q157" s="142"/>
      <c r="R157" s="107"/>
    </row>
    <row r="158" spans="1:18" x14ac:dyDescent="0.3">
      <c r="A158" s="87"/>
      <c r="B158" s="86"/>
      <c r="C158" s="87"/>
      <c r="D158" s="89">
        <f>Opcional1Cod</f>
        <v>420</v>
      </c>
      <c r="E158" s="113">
        <v>2</v>
      </c>
      <c r="F158" s="26">
        <v>2.2000000000000002</v>
      </c>
      <c r="G158" s="26">
        <v>2.8</v>
      </c>
      <c r="H158" s="26">
        <v>3</v>
      </c>
      <c r="I158" s="26">
        <v>5.3</v>
      </c>
      <c r="J158" s="26" t="str">
        <f>IF(JuecesPanel&gt;=6,"",IF((JuecesPanel+JuecesCalc)&lt;6,"",IF(COUNT(E158:I158)&gt;0,AVERAGE(E158:I158),"")))</f>
        <v/>
      </c>
      <c r="K158" s="26" t="str">
        <f>IF(JuecesPanel&gt;=7,"",IF((JuecesPanel+JuecesCalc)&lt;7,"",IF(COUNT(E158:J158)&gt;0,AVERAGE(E158:J158),"")))</f>
        <v/>
      </c>
      <c r="L158" s="25">
        <f>IF(COUNT(E158:K158)&gt;4,MAX(E158:K158),"")</f>
        <v>5.3</v>
      </c>
      <c r="M158" s="25">
        <f>IF(COUNT(E158:K158)&gt;4,MIN(E158:K158),"")</f>
        <v>2</v>
      </c>
      <c r="N158" s="88">
        <f>IF(COUNT(E158:K158)&gt;0,(SUM(E158:K158)-( SUM(L158:M158)  ))/(IF(COUNT(E158:K158)&gt;4,COUNT(E158:K158)-2,COUNT(E158:K158))),"")</f>
        <v>2.6666666666666665</v>
      </c>
      <c r="O158" s="139">
        <f>IF(COUNT(E158:K158)&gt;0,N158*Opcional1GD,"")</f>
        <v>5.0666666666666664</v>
      </c>
      <c r="P158" s="145"/>
      <c r="Q158" s="142"/>
      <c r="R158" s="107"/>
    </row>
    <row r="159" spans="1:18" x14ac:dyDescent="0.3">
      <c r="A159" s="108"/>
      <c r="B159" s="109"/>
      <c r="C159" s="108"/>
      <c r="D159" s="89">
        <f>Opcional2Cod</f>
        <v>327</v>
      </c>
      <c r="E159" s="102">
        <v>3.3</v>
      </c>
      <c r="F159" s="99">
        <v>3.8</v>
      </c>
      <c r="G159" s="99">
        <v>3.5</v>
      </c>
      <c r="H159" s="99">
        <v>4.2</v>
      </c>
      <c r="I159" s="99">
        <v>4.8</v>
      </c>
      <c r="J159" s="99" t="str">
        <f>IF(JuecesPanel&gt;=6,"",IF((JuecesPanel+JuecesCalc)&lt;6,"",IF(COUNT(E159:I159)&gt;0,AVERAGE(E159:I159),"")))</f>
        <v/>
      </c>
      <c r="K159" s="99" t="str">
        <f>IF(JuecesPanel&gt;=7,"",IF((JuecesPanel+JuecesCalc)&lt;7,"",IF(COUNT(E159:J159)&gt;0,AVERAGE(E159:J159),"")))</f>
        <v/>
      </c>
      <c r="L159" s="99">
        <f>IF(COUNT(E159:K159)&gt;4,MAX(E159:K159),"")</f>
        <v>4.8</v>
      </c>
      <c r="M159" s="99">
        <f>IF(COUNT(E159:K159)&gt;4,MIN(E159:K159),"")</f>
        <v>3.3</v>
      </c>
      <c r="N159" s="110">
        <f>IF(COUNT(E159:K159)&gt;0,(SUM(E159:K159)-( SUM(L159:M159)  ))/(IF(COUNT(E159:K159)&gt;4,COUNT(E159:K159)-2,COUNT(E159:K159))),"")</f>
        <v>3.8333333333333339</v>
      </c>
      <c r="O159" s="140">
        <f>IF(COUNT(E159:K159)&gt;0,N159*Opcional2GD,"")</f>
        <v>6.9000000000000012</v>
      </c>
      <c r="P159" s="146"/>
      <c r="Q159" s="143"/>
      <c r="R159" s="111"/>
    </row>
    <row r="160" spans="1:18" x14ac:dyDescent="0.3">
      <c r="A160" s="96">
        <v>39</v>
      </c>
      <c r="B160" s="104" t="s">
        <v>167</v>
      </c>
      <c r="C160" s="103" t="s">
        <v>114</v>
      </c>
      <c r="D160" s="89">
        <f>Obligatoria1Cod</f>
        <v>106</v>
      </c>
      <c r="E160" s="112">
        <v>3</v>
      </c>
      <c r="F160" s="98">
        <v>3.8</v>
      </c>
      <c r="G160" s="98">
        <v>3.1</v>
      </c>
      <c r="H160" s="98">
        <v>4</v>
      </c>
      <c r="I160" s="98">
        <v>4.7</v>
      </c>
      <c r="J160" s="98" t="str">
        <f>IF(JuecesPanel&gt;=6,"",IF((JuecesPanel+JuecesCalc)&lt;6,"",IF(COUNT(E160:I160)&gt;0,AVERAGE(E160:I160),"")))</f>
        <v/>
      </c>
      <c r="K160" s="98" t="str">
        <f>IF(JuecesPanel&gt;=7,"",IF((JuecesPanel+JuecesCalc)&lt;7,"",IF(COUNT(E160:J160)&gt;0,AVERAGE(E160:J160),"")))</f>
        <v/>
      </c>
      <c r="L160" s="97">
        <f>IF(COUNT(E160:K160)&gt;4,MAX(E160:K160),"")</f>
        <v>4.7</v>
      </c>
      <c r="M160" s="97">
        <f>IF(COUNT(E160:K160)&gt;4,MIN(E160:K160),"")</f>
        <v>3</v>
      </c>
      <c r="N160" s="105">
        <f>IF(COUNT(E160:K160)&gt;0,(SUM(E160:K160)-( SUM(L160:M160)  ))/(IF(COUNT(E160:K160)&gt;4,COUNT(E160:K160)-2,COUNT(E160:K160))),"")</f>
        <v>3.6333333333333342</v>
      </c>
      <c r="O160" s="138">
        <f>IF(COUNT(E160:K160)&gt;0,N160*Obligatoria1GD,"")</f>
        <v>5.8133333333333352</v>
      </c>
      <c r="P160" s="144"/>
      <c r="Q160" s="141">
        <f>IF(COUNT(E160:K163)&gt;0,SUM(O160:O163),"")</f>
        <v>27.553333333333335</v>
      </c>
      <c r="R160" s="106">
        <f>IF(COUNT(E160:K163)&gt;0,((Q160/TotalGD)*10)-SUM(P160:P163),0)</f>
        <v>38.268518518518519</v>
      </c>
    </row>
    <row r="161" spans="1:18" x14ac:dyDescent="0.3">
      <c r="A161" s="87"/>
      <c r="B161" s="86"/>
      <c r="C161" s="87"/>
      <c r="D161" s="89">
        <f>Obligatoria2Cod</f>
        <v>301</v>
      </c>
      <c r="E161" s="101">
        <v>3.2</v>
      </c>
      <c r="F161" s="25">
        <v>3.5</v>
      </c>
      <c r="G161" s="25">
        <v>4.3</v>
      </c>
      <c r="H161" s="25">
        <v>4.0999999999999996</v>
      </c>
      <c r="I161" s="25">
        <v>4.7</v>
      </c>
      <c r="J161" s="25" t="str">
        <f>IF(JuecesPanel&gt;=6,"",IF((JuecesPanel+JuecesCalc)&lt;6,"",IF(COUNT(E161:I161)&gt;0,AVERAGE(E161:I161),"")))</f>
        <v/>
      </c>
      <c r="K161" s="25" t="str">
        <f>IF(JuecesPanel&gt;=7,"",IF((JuecesPanel+JuecesCalc)&lt;7,"",IF(COUNT(E161:J161)&gt;0,AVERAGE(E161:J161),"")))</f>
        <v/>
      </c>
      <c r="L161" s="25">
        <f>IF(COUNT(E161:K161)&gt;4,MAX(E161:K161),"")</f>
        <v>4.7</v>
      </c>
      <c r="M161" s="25">
        <f>IF(COUNT(E161:K161)&gt;4,MIN(E161:K161),"")</f>
        <v>3.2</v>
      </c>
      <c r="N161" s="88">
        <f>IF(COUNT(E161:K161)&gt;0,(SUM(E161:K161)-( SUM(L161:M161)  ))/(IF(COUNT(E161:K161)&gt;4,COUNT(E161:K161)-2,COUNT(E161:K161))),"")</f>
        <v>3.9666666666666668</v>
      </c>
      <c r="O161" s="139">
        <f>IF(COUNT(E161:K161)&gt;0,N161*Obligatoria2GD,"")</f>
        <v>7.5366666666666662</v>
      </c>
      <c r="P161" s="145"/>
      <c r="Q161" s="142"/>
      <c r="R161" s="107"/>
    </row>
    <row r="162" spans="1:18" x14ac:dyDescent="0.3">
      <c r="A162" s="87"/>
      <c r="B162" s="86"/>
      <c r="C162" s="87"/>
      <c r="D162" s="89">
        <f>Opcional1Cod</f>
        <v>420</v>
      </c>
      <c r="E162" s="113">
        <v>4.0999999999999996</v>
      </c>
      <c r="F162" s="26">
        <v>3.1</v>
      </c>
      <c r="G162" s="26">
        <v>3.1</v>
      </c>
      <c r="H162" s="26">
        <v>4.3</v>
      </c>
      <c r="I162" s="26">
        <v>2</v>
      </c>
      <c r="J162" s="26" t="str">
        <f>IF(JuecesPanel&gt;=6,"",IF((JuecesPanel+JuecesCalc)&lt;6,"",IF(COUNT(E162:I162)&gt;0,AVERAGE(E162:I162),"")))</f>
        <v/>
      </c>
      <c r="K162" s="26" t="str">
        <f>IF(JuecesPanel&gt;=7,"",IF((JuecesPanel+JuecesCalc)&lt;7,"",IF(COUNT(E162:J162)&gt;0,AVERAGE(E162:J162),"")))</f>
        <v/>
      </c>
      <c r="L162" s="25">
        <f>IF(COUNT(E162:K162)&gt;4,MAX(E162:K162),"")</f>
        <v>4.3</v>
      </c>
      <c r="M162" s="25">
        <f>IF(COUNT(E162:K162)&gt;4,MIN(E162:K162),"")</f>
        <v>2</v>
      </c>
      <c r="N162" s="88">
        <f>IF(COUNT(E162:K162)&gt;0,(SUM(E162:K162)-( SUM(L162:M162)  ))/(IF(COUNT(E162:K162)&gt;4,COUNT(E162:K162)-2,COUNT(E162:K162))),"")</f>
        <v>3.4333333333333322</v>
      </c>
      <c r="O162" s="139">
        <f>IF(COUNT(E162:K162)&gt;0,N162*Opcional1GD,"")</f>
        <v>6.5233333333333308</v>
      </c>
      <c r="P162" s="145"/>
      <c r="Q162" s="142"/>
      <c r="R162" s="107"/>
    </row>
    <row r="163" spans="1:18" x14ac:dyDescent="0.3">
      <c r="A163" s="108"/>
      <c r="B163" s="109"/>
      <c r="C163" s="108"/>
      <c r="D163" s="89">
        <f>Opcional2Cod</f>
        <v>327</v>
      </c>
      <c r="E163" s="102">
        <v>4.2</v>
      </c>
      <c r="F163" s="99">
        <v>4.0999999999999996</v>
      </c>
      <c r="G163" s="99">
        <v>3.9</v>
      </c>
      <c r="H163" s="99">
        <v>4.5</v>
      </c>
      <c r="I163" s="99">
        <v>4.5</v>
      </c>
      <c r="J163" s="99" t="str">
        <f>IF(JuecesPanel&gt;=6,"",IF((JuecesPanel+JuecesCalc)&lt;6,"",IF(COUNT(E163:I163)&gt;0,AVERAGE(E163:I163),"")))</f>
        <v/>
      </c>
      <c r="K163" s="99" t="str">
        <f>IF(JuecesPanel&gt;=7,"",IF((JuecesPanel+JuecesCalc)&lt;7,"",IF(COUNT(E163:J163)&gt;0,AVERAGE(E163:J163),"")))</f>
        <v/>
      </c>
      <c r="L163" s="99">
        <f>IF(COUNT(E163:K163)&gt;4,MAX(E163:K163),"")</f>
        <v>4.5</v>
      </c>
      <c r="M163" s="99">
        <f>IF(COUNT(E163:K163)&gt;4,MIN(E163:K163),"")</f>
        <v>3.9</v>
      </c>
      <c r="N163" s="110">
        <f>IF(COUNT(E163:K163)&gt;0,(SUM(E163:K163)-( SUM(L163:M163)  ))/(IF(COUNT(E163:K163)&gt;4,COUNT(E163:K163)-2,COUNT(E163:K163))),"")</f>
        <v>4.2666666666666675</v>
      </c>
      <c r="O163" s="140">
        <f>IF(COUNT(E163:K163)&gt;0,N163*Opcional2GD,"")</f>
        <v>7.6800000000000015</v>
      </c>
      <c r="P163" s="146"/>
      <c r="Q163" s="143"/>
      <c r="R163" s="111"/>
    </row>
    <row r="164" spans="1:18" x14ac:dyDescent="0.3">
      <c r="A164" s="96">
        <v>40</v>
      </c>
      <c r="B164" s="104" t="s">
        <v>168</v>
      </c>
      <c r="C164" s="103" t="s">
        <v>122</v>
      </c>
      <c r="D164" s="89">
        <f>Obligatoria1Cod</f>
        <v>106</v>
      </c>
      <c r="E164" s="112">
        <v>2.9</v>
      </c>
      <c r="F164" s="98">
        <v>3.4</v>
      </c>
      <c r="G164" s="98">
        <v>3.5</v>
      </c>
      <c r="H164" s="98">
        <v>4.2</v>
      </c>
      <c r="I164" s="98">
        <v>4.7</v>
      </c>
      <c r="J164" s="98" t="str">
        <f>IF(JuecesPanel&gt;=6,"",IF((JuecesPanel+JuecesCalc)&lt;6,"",IF(COUNT(E164:I164)&gt;0,AVERAGE(E164:I164),"")))</f>
        <v/>
      </c>
      <c r="K164" s="98" t="str">
        <f>IF(JuecesPanel&gt;=7,"",IF((JuecesPanel+JuecesCalc)&lt;7,"",IF(COUNT(E164:J164)&gt;0,AVERAGE(E164:J164),"")))</f>
        <v/>
      </c>
      <c r="L164" s="97">
        <f>IF(COUNT(E164:K164)&gt;4,MAX(E164:K164),"")</f>
        <v>4.7</v>
      </c>
      <c r="M164" s="97">
        <f>IF(COUNT(E164:K164)&gt;4,MIN(E164:K164),"")</f>
        <v>2.9</v>
      </c>
      <c r="N164" s="105">
        <f>IF(COUNT(E164:K164)&gt;0,(SUM(E164:K164)-( SUM(L164:M164)  ))/(IF(COUNT(E164:K164)&gt;4,COUNT(E164:K164)-2,COUNT(E164:K164))),"")</f>
        <v>3.6999999999999997</v>
      </c>
      <c r="O164" s="138">
        <f>IF(COUNT(E164:K164)&gt;0,N164*Obligatoria1GD,"")</f>
        <v>5.92</v>
      </c>
      <c r="P164" s="144"/>
      <c r="Q164" s="141">
        <f>IF(COUNT(E164:K167)&gt;0,SUM(O164:O167),"")</f>
        <v>26.689999999999998</v>
      </c>
      <c r="R164" s="106">
        <f>IF(COUNT(E164:K167)&gt;0,((Q164/TotalGD)*10)-SUM(P164:P167),0)</f>
        <v>37.069444444444443</v>
      </c>
    </row>
    <row r="165" spans="1:18" x14ac:dyDescent="0.3">
      <c r="A165" s="87"/>
      <c r="B165" s="86"/>
      <c r="C165" s="87"/>
      <c r="D165" s="89">
        <f>Obligatoria2Cod</f>
        <v>301</v>
      </c>
      <c r="E165" s="101">
        <v>3</v>
      </c>
      <c r="F165" s="25">
        <v>3</v>
      </c>
      <c r="G165" s="25">
        <v>3.8</v>
      </c>
      <c r="H165" s="25">
        <v>3.8</v>
      </c>
      <c r="I165" s="25">
        <v>4.5</v>
      </c>
      <c r="J165" s="25" t="str">
        <f>IF(JuecesPanel&gt;=6,"",IF((JuecesPanel+JuecesCalc)&lt;6,"",IF(COUNT(E165:I165)&gt;0,AVERAGE(E165:I165),"")))</f>
        <v/>
      </c>
      <c r="K165" s="25" t="str">
        <f>IF(JuecesPanel&gt;=7,"",IF((JuecesPanel+JuecesCalc)&lt;7,"",IF(COUNT(E165:J165)&gt;0,AVERAGE(E165:J165),"")))</f>
        <v/>
      </c>
      <c r="L165" s="25">
        <f>IF(COUNT(E165:K165)&gt;4,MAX(E165:K165),"")</f>
        <v>4.5</v>
      </c>
      <c r="M165" s="25">
        <f>IF(COUNT(E165:K165)&gt;4,MIN(E165:K165),"")</f>
        <v>3</v>
      </c>
      <c r="N165" s="88">
        <f>IF(COUNT(E165:K165)&gt;0,(SUM(E165:K165)-( SUM(L165:M165)  ))/(IF(COUNT(E165:K165)&gt;4,COUNT(E165:K165)-2,COUNT(E165:K165))),"")</f>
        <v>3.5333333333333337</v>
      </c>
      <c r="O165" s="139">
        <f>IF(COUNT(E165:K165)&gt;0,N165*Obligatoria2GD,"")</f>
        <v>6.7133333333333338</v>
      </c>
      <c r="P165" s="145"/>
      <c r="Q165" s="142"/>
      <c r="R165" s="107"/>
    </row>
    <row r="166" spans="1:18" x14ac:dyDescent="0.3">
      <c r="A166" s="87"/>
      <c r="B166" s="86"/>
      <c r="C166" s="87"/>
      <c r="D166" s="89">
        <f>Opcional1Cod</f>
        <v>420</v>
      </c>
      <c r="E166" s="113">
        <v>3.2</v>
      </c>
      <c r="F166" s="26">
        <v>3.6</v>
      </c>
      <c r="G166" s="26">
        <v>3.5</v>
      </c>
      <c r="H166" s="26">
        <v>4.2</v>
      </c>
      <c r="I166" s="26">
        <v>4.4000000000000004</v>
      </c>
      <c r="J166" s="26" t="str">
        <f>IF(JuecesPanel&gt;=6,"",IF((JuecesPanel+JuecesCalc)&lt;6,"",IF(COUNT(E166:I166)&gt;0,AVERAGE(E166:I166),"")))</f>
        <v/>
      </c>
      <c r="K166" s="26" t="str">
        <f>IF(JuecesPanel&gt;=7,"",IF((JuecesPanel+JuecesCalc)&lt;7,"",IF(COUNT(E166:J166)&gt;0,AVERAGE(E166:J166),"")))</f>
        <v/>
      </c>
      <c r="L166" s="25">
        <f>IF(COUNT(E166:K166)&gt;4,MAX(E166:K166),"")</f>
        <v>4.4000000000000004</v>
      </c>
      <c r="M166" s="25">
        <f>IF(COUNT(E166:K166)&gt;4,MIN(E166:K166),"")</f>
        <v>3.2</v>
      </c>
      <c r="N166" s="88">
        <f>IF(COUNT(E166:K166)&gt;0,(SUM(E166:K166)-( SUM(L166:M166)  ))/(IF(COUNT(E166:K166)&gt;4,COUNT(E166:K166)-2,COUNT(E166:K166))),"")</f>
        <v>3.7666666666666657</v>
      </c>
      <c r="O166" s="139">
        <f>IF(COUNT(E166:K166)&gt;0,N166*Opcional1GD,"")</f>
        <v>7.1566666666666645</v>
      </c>
      <c r="P166" s="145"/>
      <c r="Q166" s="142"/>
      <c r="R166" s="107"/>
    </row>
    <row r="167" spans="1:18" x14ac:dyDescent="0.3">
      <c r="A167" s="108"/>
      <c r="B167" s="109"/>
      <c r="C167" s="108"/>
      <c r="D167" s="89">
        <f>Opcional2Cod</f>
        <v>327</v>
      </c>
      <c r="E167" s="102">
        <v>3.7</v>
      </c>
      <c r="F167" s="99">
        <v>3.8</v>
      </c>
      <c r="G167" s="99">
        <v>3.7</v>
      </c>
      <c r="H167" s="99">
        <v>4</v>
      </c>
      <c r="I167" s="99">
        <v>4.3</v>
      </c>
      <c r="J167" s="99" t="str">
        <f>IF(JuecesPanel&gt;=6,"",IF((JuecesPanel+JuecesCalc)&lt;6,"",IF(COUNT(E167:I167)&gt;0,AVERAGE(E167:I167),"")))</f>
        <v/>
      </c>
      <c r="K167" s="99" t="str">
        <f>IF(JuecesPanel&gt;=7,"",IF((JuecesPanel+JuecesCalc)&lt;7,"",IF(COUNT(E167:J167)&gt;0,AVERAGE(E167:J167),"")))</f>
        <v/>
      </c>
      <c r="L167" s="99">
        <f>IF(COUNT(E167:K167)&gt;4,MAX(E167:K167),"")</f>
        <v>4.3</v>
      </c>
      <c r="M167" s="99">
        <f>IF(COUNT(E167:K167)&gt;4,MIN(E167:K167),"")</f>
        <v>3.7</v>
      </c>
      <c r="N167" s="110">
        <f>IF(COUNT(E167:K167)&gt;0,(SUM(E167:K167)-( SUM(L167:M167)  ))/(IF(COUNT(E167:K167)&gt;4,COUNT(E167:K167)-2,COUNT(E167:K167))),"")</f>
        <v>3.8333333333333335</v>
      </c>
      <c r="O167" s="140">
        <f>IF(COUNT(E167:K167)&gt;0,N167*Opcional2GD,"")</f>
        <v>6.9</v>
      </c>
      <c r="P167" s="146"/>
      <c r="Q167" s="143"/>
      <c r="R167" s="111"/>
    </row>
    <row r="168" spans="1:18" x14ac:dyDescent="0.3">
      <c r="A168" s="96">
        <v>41</v>
      </c>
      <c r="B168" s="104" t="s">
        <v>169</v>
      </c>
      <c r="C168" s="103" t="s">
        <v>121</v>
      </c>
      <c r="D168" s="89">
        <f>Obligatoria1Cod</f>
        <v>106</v>
      </c>
      <c r="E168" s="112">
        <v>4.5999999999999996</v>
      </c>
      <c r="F168" s="98">
        <v>5.0999999999999996</v>
      </c>
      <c r="G168" s="98">
        <v>4.7</v>
      </c>
      <c r="H168" s="98">
        <v>4.5999999999999996</v>
      </c>
      <c r="I168" s="98">
        <v>5.0999999999999996</v>
      </c>
      <c r="J168" s="98" t="str">
        <f>IF(JuecesPanel&gt;=6,"",IF((JuecesPanel+JuecesCalc)&lt;6,"",IF(COUNT(E168:I168)&gt;0,AVERAGE(E168:I168),"")))</f>
        <v/>
      </c>
      <c r="K168" s="98" t="str">
        <f>IF(JuecesPanel&gt;=7,"",IF((JuecesPanel+JuecesCalc)&lt;7,"",IF(COUNT(E168:J168)&gt;0,AVERAGE(E168:J168),"")))</f>
        <v/>
      </c>
      <c r="L168" s="97">
        <f>IF(COUNT(E168:K168)&gt;4,MAX(E168:K168),"")</f>
        <v>5.0999999999999996</v>
      </c>
      <c r="M168" s="97">
        <f>IF(COUNT(E168:K168)&gt;4,MIN(E168:K168),"")</f>
        <v>4.5999999999999996</v>
      </c>
      <c r="N168" s="105">
        <f>IF(COUNT(E168:K168)&gt;0,(SUM(E168:K168)-( SUM(L168:M168)  ))/(IF(COUNT(E168:K168)&gt;4,COUNT(E168:K168)-2,COUNT(E168:K168))),"")</f>
        <v>4.8000000000000007</v>
      </c>
      <c r="O168" s="138">
        <f>IF(COUNT(E168:K168)&gt;0,N168*Obligatoria1GD,"")</f>
        <v>7.6800000000000015</v>
      </c>
      <c r="P168" s="144"/>
      <c r="Q168" s="141">
        <f>IF(COUNT(E168:K171)&gt;0,SUM(O168:O171),"")</f>
        <v>31.853333333333339</v>
      </c>
      <c r="R168" s="106">
        <f>IF(COUNT(E168:K171)&gt;0,((Q168/TotalGD)*10)-SUM(P168:P171),0)</f>
        <v>44.240740740740748</v>
      </c>
    </row>
    <row r="169" spans="1:18" x14ac:dyDescent="0.3">
      <c r="A169" s="87"/>
      <c r="B169" s="86"/>
      <c r="C169" s="87"/>
      <c r="D169" s="89">
        <f>Obligatoria2Cod</f>
        <v>301</v>
      </c>
      <c r="E169" s="101">
        <v>3.8</v>
      </c>
      <c r="F169" s="25">
        <v>4</v>
      </c>
      <c r="G169" s="25">
        <v>4</v>
      </c>
      <c r="H169" s="25">
        <v>4.3</v>
      </c>
      <c r="I169" s="25">
        <v>4.9000000000000004</v>
      </c>
      <c r="J169" s="25" t="str">
        <f>IF(JuecesPanel&gt;=6,"",IF((JuecesPanel+JuecesCalc)&lt;6,"",IF(COUNT(E169:I169)&gt;0,AVERAGE(E169:I169),"")))</f>
        <v/>
      </c>
      <c r="K169" s="25" t="str">
        <f>IF(JuecesPanel&gt;=7,"",IF((JuecesPanel+JuecesCalc)&lt;7,"",IF(COUNT(E169:J169)&gt;0,AVERAGE(E169:J169),"")))</f>
        <v/>
      </c>
      <c r="L169" s="25">
        <f>IF(COUNT(E169:K169)&gt;4,MAX(E169:K169),"")</f>
        <v>4.9000000000000004</v>
      </c>
      <c r="M169" s="25">
        <f>IF(COUNT(E169:K169)&gt;4,MIN(E169:K169),"")</f>
        <v>3.8</v>
      </c>
      <c r="N169" s="88">
        <f>IF(COUNT(E169:K169)&gt;0,(SUM(E169:K169)-( SUM(L169:M169)  ))/(IF(COUNT(E169:K169)&gt;4,COUNT(E169:K169)-2,COUNT(E169:K169))),"")</f>
        <v>4.1000000000000005</v>
      </c>
      <c r="O169" s="139">
        <f>IF(COUNT(E169:K169)&gt;0,N169*Obligatoria2GD,"")</f>
        <v>7.7900000000000009</v>
      </c>
      <c r="P169" s="145"/>
      <c r="Q169" s="142"/>
      <c r="R169" s="107"/>
    </row>
    <row r="170" spans="1:18" x14ac:dyDescent="0.3">
      <c r="A170" s="87"/>
      <c r="B170" s="86"/>
      <c r="C170" s="87"/>
      <c r="D170" s="89">
        <f>Opcional1Cod</f>
        <v>420</v>
      </c>
      <c r="E170" s="113">
        <v>4.0999999999999996</v>
      </c>
      <c r="F170" s="26">
        <v>4</v>
      </c>
      <c r="G170" s="26">
        <v>4.2</v>
      </c>
      <c r="H170" s="26">
        <v>4.4000000000000004</v>
      </c>
      <c r="I170" s="26">
        <v>5.0999999999999996</v>
      </c>
      <c r="J170" s="26" t="str">
        <f>IF(JuecesPanel&gt;=6,"",IF((JuecesPanel+JuecesCalc)&lt;6,"",IF(COUNT(E170:I170)&gt;0,AVERAGE(E170:I170),"")))</f>
        <v/>
      </c>
      <c r="K170" s="26" t="str">
        <f>IF(JuecesPanel&gt;=7,"",IF((JuecesPanel+JuecesCalc)&lt;7,"",IF(COUNT(E170:J170)&gt;0,AVERAGE(E170:J170),"")))</f>
        <v/>
      </c>
      <c r="L170" s="25">
        <f>IF(COUNT(E170:K170)&gt;4,MAX(E170:K170),"")</f>
        <v>5.0999999999999996</v>
      </c>
      <c r="M170" s="25">
        <f>IF(COUNT(E170:K170)&gt;4,MIN(E170:K170),"")</f>
        <v>4</v>
      </c>
      <c r="N170" s="88">
        <f>IF(COUNT(E170:K170)&gt;0,(SUM(E170:K170)-( SUM(L170:M170)  ))/(IF(COUNT(E170:K170)&gt;4,COUNT(E170:K170)-2,COUNT(E170:K170))),"")</f>
        <v>4.2333333333333352</v>
      </c>
      <c r="O170" s="139">
        <f>IF(COUNT(E170:K170)&gt;0,N170*Opcional1GD,"")</f>
        <v>8.0433333333333366</v>
      </c>
      <c r="P170" s="145"/>
      <c r="Q170" s="142"/>
      <c r="R170" s="107"/>
    </row>
    <row r="171" spans="1:18" x14ac:dyDescent="0.3">
      <c r="A171" s="108"/>
      <c r="B171" s="109"/>
      <c r="C171" s="108"/>
      <c r="D171" s="89">
        <f>Opcional2Cod</f>
        <v>327</v>
      </c>
      <c r="E171" s="102">
        <v>4.8</v>
      </c>
      <c r="F171" s="99">
        <v>4.0999999999999996</v>
      </c>
      <c r="G171" s="99">
        <v>4.4000000000000004</v>
      </c>
      <c r="H171" s="99">
        <v>4.7</v>
      </c>
      <c r="I171" s="99">
        <v>4.8</v>
      </c>
      <c r="J171" s="99" t="str">
        <f>IF(JuecesPanel&gt;=6,"",IF((JuecesPanel+JuecesCalc)&lt;6,"",IF(COUNT(E171:I171)&gt;0,AVERAGE(E171:I171),"")))</f>
        <v/>
      </c>
      <c r="K171" s="99" t="str">
        <f>IF(JuecesPanel&gt;=7,"",IF((JuecesPanel+JuecesCalc)&lt;7,"",IF(COUNT(E171:J171)&gt;0,AVERAGE(E171:J171),"")))</f>
        <v/>
      </c>
      <c r="L171" s="99">
        <f>IF(COUNT(E171:K171)&gt;4,MAX(E171:K171),"")</f>
        <v>4.8</v>
      </c>
      <c r="M171" s="99">
        <f>IF(COUNT(E171:K171)&gt;4,MIN(E171:K171),"")</f>
        <v>4.0999999999999996</v>
      </c>
      <c r="N171" s="110">
        <f>IF(COUNT(E171:K171)&gt;0,(SUM(E171:K171)-( SUM(L171:M171)  ))/(IF(COUNT(E171:K171)&gt;4,COUNT(E171:K171)-2,COUNT(E171:K171))),"")</f>
        <v>4.6333333333333337</v>
      </c>
      <c r="O171" s="140">
        <f>IF(COUNT(E171:K171)&gt;0,N171*Opcional2GD,"")</f>
        <v>8.3400000000000016</v>
      </c>
      <c r="P171" s="146"/>
      <c r="Q171" s="143"/>
      <c r="R171" s="111"/>
    </row>
    <row r="172" spans="1:18" x14ac:dyDescent="0.3">
      <c r="A172" s="96">
        <v>42</v>
      </c>
      <c r="B172" s="104" t="s">
        <v>131</v>
      </c>
      <c r="C172" s="103" t="s">
        <v>122</v>
      </c>
      <c r="D172" s="89">
        <f>Obligatoria1Cod</f>
        <v>106</v>
      </c>
      <c r="E172" s="112">
        <v>4.0999999999999996</v>
      </c>
      <c r="F172" s="98">
        <v>3.7</v>
      </c>
      <c r="G172" s="98">
        <v>3.8</v>
      </c>
      <c r="H172" s="98">
        <v>4.8</v>
      </c>
      <c r="I172" s="98">
        <v>4.5999999999999996</v>
      </c>
      <c r="J172" s="98" t="str">
        <f>IF(JuecesPanel&gt;=6,"",IF((JuecesPanel+JuecesCalc)&lt;6,"",IF(COUNT(E172:I172)&gt;0,AVERAGE(E172:I172),"")))</f>
        <v/>
      </c>
      <c r="K172" s="98" t="str">
        <f>IF(JuecesPanel&gt;=7,"",IF((JuecesPanel+JuecesCalc)&lt;7,"",IF(COUNT(E172:J172)&gt;0,AVERAGE(E172:J172),"")))</f>
        <v/>
      </c>
      <c r="L172" s="97">
        <f>IF(COUNT(E172:K172)&gt;4,MAX(E172:K172),"")</f>
        <v>4.8</v>
      </c>
      <c r="M172" s="97">
        <f>IF(COUNT(E172:K172)&gt;4,MIN(E172:K172),"")</f>
        <v>3.7</v>
      </c>
      <c r="N172" s="105">
        <f>IF(COUNT(E172:K172)&gt;0,(SUM(E172:K172)-( SUM(L172:M172)  ))/(IF(COUNT(E172:K172)&gt;4,COUNT(E172:K172)-2,COUNT(E172:K172))),"")</f>
        <v>4.166666666666667</v>
      </c>
      <c r="O172" s="138">
        <f>IF(COUNT(E172:K172)&gt;0,N172*Obligatoria1GD,"")</f>
        <v>6.6666666666666679</v>
      </c>
      <c r="P172" s="144"/>
      <c r="Q172" s="141">
        <f>IF(COUNT(E172:K175)&gt;0,SUM(O172:O175),"")</f>
        <v>28.583333333333332</v>
      </c>
      <c r="R172" s="106">
        <f>IF(COUNT(E172:K175)&gt;0,((Q172/TotalGD)*10)-SUM(P172:P175),0)</f>
        <v>39.699074074074069</v>
      </c>
    </row>
    <row r="173" spans="1:18" x14ac:dyDescent="0.3">
      <c r="A173" s="87"/>
      <c r="B173" s="86"/>
      <c r="C173" s="87"/>
      <c r="D173" s="89">
        <f>Obligatoria2Cod</f>
        <v>301</v>
      </c>
      <c r="E173" s="101">
        <v>4.2</v>
      </c>
      <c r="F173" s="25">
        <v>3.6</v>
      </c>
      <c r="G173" s="25">
        <v>4.2</v>
      </c>
      <c r="H173" s="25">
        <v>4</v>
      </c>
      <c r="I173" s="25">
        <v>4.8</v>
      </c>
      <c r="J173" s="25" t="str">
        <f>IF(JuecesPanel&gt;=6,"",IF((JuecesPanel+JuecesCalc)&lt;6,"",IF(COUNT(E173:I173)&gt;0,AVERAGE(E173:I173),"")))</f>
        <v/>
      </c>
      <c r="K173" s="25" t="str">
        <f>IF(JuecesPanel&gt;=7,"",IF((JuecesPanel+JuecesCalc)&lt;7,"",IF(COUNT(E173:J173)&gt;0,AVERAGE(E173:J173),"")))</f>
        <v/>
      </c>
      <c r="L173" s="25">
        <f>IF(COUNT(E173:K173)&gt;4,MAX(E173:K173),"")</f>
        <v>4.8</v>
      </c>
      <c r="M173" s="25">
        <f>IF(COUNT(E173:K173)&gt;4,MIN(E173:K173),"")</f>
        <v>3.6</v>
      </c>
      <c r="N173" s="88">
        <f>IF(COUNT(E173:K173)&gt;0,(SUM(E173:K173)-( SUM(L173:M173)  ))/(IF(COUNT(E173:K173)&gt;4,COUNT(E173:K173)-2,COUNT(E173:K173))),"")</f>
        <v>4.1333333333333337</v>
      </c>
      <c r="O173" s="139">
        <f>IF(COUNT(E173:K173)&gt;0,N173*Obligatoria2GD,"")</f>
        <v>7.8533333333333335</v>
      </c>
      <c r="P173" s="145"/>
      <c r="Q173" s="142"/>
      <c r="R173" s="107"/>
    </row>
    <row r="174" spans="1:18" x14ac:dyDescent="0.3">
      <c r="A174" s="87"/>
      <c r="B174" s="86"/>
      <c r="C174" s="87"/>
      <c r="D174" s="89">
        <f>Opcional1Cod</f>
        <v>420</v>
      </c>
      <c r="E174" s="113">
        <v>3</v>
      </c>
      <c r="F174" s="26">
        <v>2.9</v>
      </c>
      <c r="G174" s="26">
        <v>2.5</v>
      </c>
      <c r="H174" s="26">
        <v>3.8</v>
      </c>
      <c r="I174" s="26">
        <v>4.0999999999999996</v>
      </c>
      <c r="J174" s="26" t="str">
        <f>IF(JuecesPanel&gt;=6,"",IF((JuecesPanel+JuecesCalc)&lt;6,"",IF(COUNT(E174:I174)&gt;0,AVERAGE(E174:I174),"")))</f>
        <v/>
      </c>
      <c r="K174" s="26" t="str">
        <f>IF(JuecesPanel&gt;=7,"",IF((JuecesPanel+JuecesCalc)&lt;7,"",IF(COUNT(E174:J174)&gt;0,AVERAGE(E174:J174),"")))</f>
        <v/>
      </c>
      <c r="L174" s="25">
        <f>IF(COUNT(E174:K174)&gt;4,MAX(E174:K174),"")</f>
        <v>4.0999999999999996</v>
      </c>
      <c r="M174" s="25">
        <f>IF(COUNT(E174:K174)&gt;4,MIN(E174:K174),"")</f>
        <v>2.5</v>
      </c>
      <c r="N174" s="88">
        <f>IF(COUNT(E174:K174)&gt;0,(SUM(E174:K174)-( SUM(L174:M174)  ))/(IF(COUNT(E174:K174)&gt;4,COUNT(E174:K174)-2,COUNT(E174:K174))),"")</f>
        <v>3.2333333333333325</v>
      </c>
      <c r="O174" s="139">
        <f>IF(COUNT(E174:K174)&gt;0,N174*Opcional1GD,"")</f>
        <v>6.1433333333333318</v>
      </c>
      <c r="P174" s="145"/>
      <c r="Q174" s="142"/>
      <c r="R174" s="107"/>
    </row>
    <row r="175" spans="1:18" x14ac:dyDescent="0.3">
      <c r="A175" s="108"/>
      <c r="B175" s="109"/>
      <c r="C175" s="108"/>
      <c r="D175" s="89">
        <f>Opcional2Cod</f>
        <v>327</v>
      </c>
      <c r="E175" s="102">
        <v>4.5</v>
      </c>
      <c r="F175" s="99">
        <v>4.5999999999999996</v>
      </c>
      <c r="G175" s="99">
        <v>3.7</v>
      </c>
      <c r="H175" s="99">
        <v>4.0999999999999996</v>
      </c>
      <c r="I175" s="99">
        <v>4.7</v>
      </c>
      <c r="J175" s="99" t="str">
        <f>IF(JuecesPanel&gt;=6,"",IF((JuecesPanel+JuecesCalc)&lt;6,"",IF(COUNT(E175:I175)&gt;0,AVERAGE(E175:I175),"")))</f>
        <v/>
      </c>
      <c r="K175" s="99" t="str">
        <f>IF(JuecesPanel&gt;=7,"",IF((JuecesPanel+JuecesCalc)&lt;7,"",IF(COUNT(E175:J175)&gt;0,AVERAGE(E175:J175),"")))</f>
        <v/>
      </c>
      <c r="L175" s="99">
        <f>IF(COUNT(E175:K175)&gt;4,MAX(E175:K175),"")</f>
        <v>4.7</v>
      </c>
      <c r="M175" s="99">
        <f>IF(COUNT(E175:K175)&gt;4,MIN(E175:K175),"")</f>
        <v>3.7</v>
      </c>
      <c r="N175" s="110">
        <f>IF(COUNT(E175:K175)&gt;0,(SUM(E175:K175)-( SUM(L175:M175)  ))/(IF(COUNT(E175:K175)&gt;4,COUNT(E175:K175)-2,COUNT(E175:K175))),"")</f>
        <v>4.3999999999999995</v>
      </c>
      <c r="O175" s="140">
        <f>IF(COUNT(E175:K175)&gt;0,N175*Opcional2GD,"")</f>
        <v>7.919999999999999</v>
      </c>
      <c r="P175" s="146"/>
      <c r="Q175" s="143"/>
      <c r="R175" s="111"/>
    </row>
    <row r="176" spans="1:18" x14ac:dyDescent="0.3">
      <c r="A176" s="96">
        <v>43</v>
      </c>
      <c r="B176" s="104" t="s">
        <v>170</v>
      </c>
      <c r="C176" s="103" t="s">
        <v>121</v>
      </c>
      <c r="D176" s="89">
        <f>Obligatoria1Cod</f>
        <v>106</v>
      </c>
      <c r="E176" s="112">
        <v>3.3</v>
      </c>
      <c r="F176" s="98">
        <v>3.8</v>
      </c>
      <c r="G176" s="98">
        <v>3.6</v>
      </c>
      <c r="H176" s="98">
        <v>4</v>
      </c>
      <c r="I176" s="98">
        <v>4.4000000000000004</v>
      </c>
      <c r="J176" s="98" t="str">
        <f>IF(JuecesPanel&gt;=6,"",IF((JuecesPanel+JuecesCalc)&lt;6,"",IF(COUNT(E176:I176)&gt;0,AVERAGE(E176:I176),"")))</f>
        <v/>
      </c>
      <c r="K176" s="98" t="str">
        <f>IF(JuecesPanel&gt;=7,"",IF((JuecesPanel+JuecesCalc)&lt;7,"",IF(COUNT(E176:J176)&gt;0,AVERAGE(E176:J176),"")))</f>
        <v/>
      </c>
      <c r="L176" s="97">
        <f>IF(COUNT(E176:K176)&gt;4,MAX(E176:K176),"")</f>
        <v>4.4000000000000004</v>
      </c>
      <c r="M176" s="97">
        <f>IF(COUNT(E176:K176)&gt;4,MIN(E176:K176),"")</f>
        <v>3.3</v>
      </c>
      <c r="N176" s="105">
        <f>IF(COUNT(E176:K176)&gt;0,(SUM(E176:K176)-( SUM(L176:M176)  ))/(IF(COUNT(E176:K176)&gt;4,COUNT(E176:K176)-2,COUNT(E176:K176))),"")</f>
        <v>3.8000000000000007</v>
      </c>
      <c r="O176" s="138">
        <f>IF(COUNT(E176:K176)&gt;0,N176*Obligatoria1GD,"")</f>
        <v>6.0800000000000018</v>
      </c>
      <c r="P176" s="144"/>
      <c r="Q176" s="141">
        <f>IF(COUNT(E176:K179)&gt;0,SUM(O176:O179),"")</f>
        <v>26.360000000000003</v>
      </c>
      <c r="R176" s="106">
        <f>IF(COUNT(E176:K179)&gt;0,((Q176/TotalGD)*10)-SUM(P176:P179),0)</f>
        <v>36.611111111111114</v>
      </c>
    </row>
    <row r="177" spans="1:18" x14ac:dyDescent="0.3">
      <c r="A177" s="87"/>
      <c r="B177" s="86"/>
      <c r="C177" s="87"/>
      <c r="D177" s="89">
        <f>Obligatoria2Cod</f>
        <v>301</v>
      </c>
      <c r="E177" s="101">
        <v>3.7</v>
      </c>
      <c r="F177" s="25">
        <v>3.8</v>
      </c>
      <c r="G177" s="25">
        <v>3.7</v>
      </c>
      <c r="H177" s="25">
        <v>3.8</v>
      </c>
      <c r="I177" s="25">
        <v>4.7</v>
      </c>
      <c r="J177" s="25" t="str">
        <f>IF(JuecesPanel&gt;=6,"",IF((JuecesPanel+JuecesCalc)&lt;6,"",IF(COUNT(E177:I177)&gt;0,AVERAGE(E177:I177),"")))</f>
        <v/>
      </c>
      <c r="K177" s="25" t="str">
        <f>IF(JuecesPanel&gt;=7,"",IF((JuecesPanel+JuecesCalc)&lt;7,"",IF(COUNT(E177:J177)&gt;0,AVERAGE(E177:J177),"")))</f>
        <v/>
      </c>
      <c r="L177" s="25">
        <f>IF(COUNT(E177:K177)&gt;4,MAX(E177:K177),"")</f>
        <v>4.7</v>
      </c>
      <c r="M177" s="25">
        <f>IF(COUNT(E177:K177)&gt;4,MIN(E177:K177),"")</f>
        <v>3.7</v>
      </c>
      <c r="N177" s="88">
        <f>IF(COUNT(E177:K177)&gt;0,(SUM(E177:K177)-( SUM(L177:M177)  ))/(IF(COUNT(E177:K177)&gt;4,COUNT(E177:K177)-2,COUNT(E177:K177))),"")</f>
        <v>3.7666666666666662</v>
      </c>
      <c r="O177" s="139">
        <f>IF(COUNT(E177:K177)&gt;0,N177*Obligatoria2GD,"")</f>
        <v>7.1566666666666654</v>
      </c>
      <c r="P177" s="145"/>
      <c r="Q177" s="142"/>
      <c r="R177" s="107"/>
    </row>
    <row r="178" spans="1:18" x14ac:dyDescent="0.3">
      <c r="A178" s="87"/>
      <c r="B178" s="86"/>
      <c r="C178" s="87"/>
      <c r="D178" s="89">
        <f>Opcional1Cod</f>
        <v>420</v>
      </c>
      <c r="E178" s="113">
        <v>4</v>
      </c>
      <c r="F178" s="26">
        <v>3.6</v>
      </c>
      <c r="G178" s="26">
        <v>3.2</v>
      </c>
      <c r="H178" s="26">
        <v>3.5</v>
      </c>
      <c r="I178" s="26">
        <v>2</v>
      </c>
      <c r="J178" s="26" t="str">
        <f>IF(JuecesPanel&gt;=6,"",IF((JuecesPanel+JuecesCalc)&lt;6,"",IF(COUNT(E178:I178)&gt;0,AVERAGE(E178:I178),"")))</f>
        <v/>
      </c>
      <c r="K178" s="26" t="str">
        <f>IF(JuecesPanel&gt;=7,"",IF((JuecesPanel+JuecesCalc)&lt;7,"",IF(COUNT(E178:J178)&gt;0,AVERAGE(E178:J178),"")))</f>
        <v/>
      </c>
      <c r="L178" s="25">
        <f>IF(COUNT(E178:K178)&gt;4,MAX(E178:K178),"")</f>
        <v>4</v>
      </c>
      <c r="M178" s="25">
        <f>IF(COUNT(E178:K178)&gt;4,MIN(E178:K178),"")</f>
        <v>2</v>
      </c>
      <c r="N178" s="88">
        <f>IF(COUNT(E178:K178)&gt;0,(SUM(E178:K178)-( SUM(L178:M178)  ))/(IF(COUNT(E178:K178)&gt;4,COUNT(E178:K178)-2,COUNT(E178:K178))),"")</f>
        <v>3.4333333333333336</v>
      </c>
      <c r="O178" s="139">
        <f>IF(COUNT(E178:K178)&gt;0,N178*Opcional1GD,"")</f>
        <v>6.5233333333333334</v>
      </c>
      <c r="P178" s="145"/>
      <c r="Q178" s="142"/>
      <c r="R178" s="107"/>
    </row>
    <row r="179" spans="1:18" x14ac:dyDescent="0.3">
      <c r="A179" s="108"/>
      <c r="B179" s="109"/>
      <c r="C179" s="108"/>
      <c r="D179" s="89">
        <f>Opcional2Cod</f>
        <v>327</v>
      </c>
      <c r="E179" s="102">
        <v>3.6</v>
      </c>
      <c r="F179" s="99">
        <v>4.3</v>
      </c>
      <c r="G179" s="99">
        <v>3.3</v>
      </c>
      <c r="H179" s="99">
        <v>3.8</v>
      </c>
      <c r="I179" s="99">
        <v>3.6</v>
      </c>
      <c r="J179" s="99" t="str">
        <f>IF(JuecesPanel&gt;=6,"",IF((JuecesPanel+JuecesCalc)&lt;6,"",IF(COUNT(E179:I179)&gt;0,AVERAGE(E179:I179),"")))</f>
        <v/>
      </c>
      <c r="K179" s="99" t="str">
        <f>IF(JuecesPanel&gt;=7,"",IF((JuecesPanel+JuecesCalc)&lt;7,"",IF(COUNT(E179:J179)&gt;0,AVERAGE(E179:J179),"")))</f>
        <v/>
      </c>
      <c r="L179" s="99">
        <f>IF(COUNT(E179:K179)&gt;4,MAX(E179:K179),"")</f>
        <v>4.3</v>
      </c>
      <c r="M179" s="99">
        <f>IF(COUNT(E179:K179)&gt;4,MIN(E179:K179),"")</f>
        <v>3.3</v>
      </c>
      <c r="N179" s="110">
        <f>IF(COUNT(E179:K179)&gt;0,(SUM(E179:K179)-( SUM(L179:M179)  ))/(IF(COUNT(E179:K179)&gt;4,COUNT(E179:K179)-2,COUNT(E179:K179))),"")</f>
        <v>3.6666666666666674</v>
      </c>
      <c r="O179" s="140">
        <f>IF(COUNT(E179:K179)&gt;0,N179*Opcional2GD,"")</f>
        <v>6.6000000000000014</v>
      </c>
      <c r="P179" s="146"/>
      <c r="Q179" s="143"/>
      <c r="R179" s="111"/>
    </row>
    <row r="180" spans="1:18" x14ac:dyDescent="0.3">
      <c r="A180" s="96">
        <v>44</v>
      </c>
      <c r="B180" s="104" t="s">
        <v>130</v>
      </c>
      <c r="C180" s="103" t="s">
        <v>121</v>
      </c>
      <c r="D180" s="89">
        <f>Obligatoria1Cod</f>
        <v>106</v>
      </c>
      <c r="E180" s="112">
        <v>5.0999999999999996</v>
      </c>
      <c r="F180" s="98">
        <v>4.4000000000000004</v>
      </c>
      <c r="G180" s="98">
        <v>5.3</v>
      </c>
      <c r="H180" s="98">
        <v>5.7</v>
      </c>
      <c r="I180" s="98">
        <v>5.5</v>
      </c>
      <c r="J180" s="98" t="str">
        <f>IF(JuecesPanel&gt;=6,"",IF((JuecesPanel+JuecesCalc)&lt;6,"",IF(COUNT(E180:I180)&gt;0,AVERAGE(E180:I180),"")))</f>
        <v/>
      </c>
      <c r="K180" s="98" t="str">
        <f>IF(JuecesPanel&gt;=7,"",IF((JuecesPanel+JuecesCalc)&lt;7,"",IF(COUNT(E180:J180)&gt;0,AVERAGE(E180:J180),"")))</f>
        <v/>
      </c>
      <c r="L180" s="97">
        <f>IF(COUNT(E180:K180)&gt;4,MAX(E180:K180),"")</f>
        <v>5.7</v>
      </c>
      <c r="M180" s="97">
        <f>IF(COUNT(E180:K180)&gt;4,MIN(E180:K180),"")</f>
        <v>4.4000000000000004</v>
      </c>
      <c r="N180" s="105">
        <f>IF(COUNT(E180:K180)&gt;0,(SUM(E180:K180)-( SUM(L180:M180)  ))/(IF(COUNT(E180:K180)&gt;4,COUNT(E180:K180)-2,COUNT(E180:K180))),"")</f>
        <v>5.3</v>
      </c>
      <c r="O180" s="138">
        <f>IF(COUNT(E180:K180)&gt;0,N180*Obligatoria1GD,"")</f>
        <v>8.48</v>
      </c>
      <c r="P180" s="144"/>
      <c r="Q180" s="141">
        <f>IF(COUNT(E180:K183)&gt;0,SUM(O180:O183),"")</f>
        <v>36.746666666666663</v>
      </c>
      <c r="R180" s="106">
        <f>IF(COUNT(E180:K183)&gt;0,((Q180/TotalGD)*10)-SUM(P180:P183),0)</f>
        <v>51.037037037037024</v>
      </c>
    </row>
    <row r="181" spans="1:18" x14ac:dyDescent="0.3">
      <c r="A181" s="87"/>
      <c r="B181" s="86"/>
      <c r="C181" s="87"/>
      <c r="D181" s="89">
        <f>Obligatoria2Cod</f>
        <v>301</v>
      </c>
      <c r="E181" s="101">
        <v>5.6</v>
      </c>
      <c r="F181" s="25">
        <v>5</v>
      </c>
      <c r="G181" s="25">
        <v>5.3</v>
      </c>
      <c r="H181" s="25">
        <v>5.6</v>
      </c>
      <c r="I181" s="25">
        <v>5.8</v>
      </c>
      <c r="J181" s="25" t="str">
        <f>IF(JuecesPanel&gt;=6,"",IF((JuecesPanel+JuecesCalc)&lt;6,"",IF(COUNT(E181:I181)&gt;0,AVERAGE(E181:I181),"")))</f>
        <v/>
      </c>
      <c r="K181" s="25" t="str">
        <f>IF(JuecesPanel&gt;=7,"",IF((JuecesPanel+JuecesCalc)&lt;7,"",IF(COUNT(E181:J181)&gt;0,AVERAGE(E181:J181),"")))</f>
        <v/>
      </c>
      <c r="L181" s="25">
        <f>IF(COUNT(E181:K181)&gt;4,MAX(E181:K181),"")</f>
        <v>5.8</v>
      </c>
      <c r="M181" s="25">
        <f>IF(COUNT(E181:K181)&gt;4,MIN(E181:K181),"")</f>
        <v>5</v>
      </c>
      <c r="N181" s="88">
        <f>IF(COUNT(E181:K181)&gt;0,(SUM(E181:K181)-( SUM(L181:M181)  ))/(IF(COUNT(E181:K181)&gt;4,COUNT(E181:K181)-2,COUNT(E181:K181))),"")</f>
        <v>5.5</v>
      </c>
      <c r="O181" s="139">
        <f>IF(COUNT(E181:K181)&gt;0,N181*Obligatoria2GD,"")</f>
        <v>10.45</v>
      </c>
      <c r="P181" s="145"/>
      <c r="Q181" s="142"/>
      <c r="R181" s="107"/>
    </row>
    <row r="182" spans="1:18" x14ac:dyDescent="0.3">
      <c r="A182" s="87"/>
      <c r="B182" s="86"/>
      <c r="C182" s="87"/>
      <c r="D182" s="89">
        <f>Opcional1Cod</f>
        <v>420</v>
      </c>
      <c r="E182" s="113">
        <v>4.8</v>
      </c>
      <c r="F182" s="26">
        <v>4.7</v>
      </c>
      <c r="G182" s="26">
        <v>4.5999999999999996</v>
      </c>
      <c r="H182" s="26">
        <v>4.8</v>
      </c>
      <c r="I182" s="26">
        <v>5</v>
      </c>
      <c r="J182" s="26" t="str">
        <f>IF(JuecesPanel&gt;=6,"",IF((JuecesPanel+JuecesCalc)&lt;6,"",IF(COUNT(E182:I182)&gt;0,AVERAGE(E182:I182),"")))</f>
        <v/>
      </c>
      <c r="K182" s="26" t="str">
        <f>IF(JuecesPanel&gt;=7,"",IF((JuecesPanel+JuecesCalc)&lt;7,"",IF(COUNT(E182:J182)&gt;0,AVERAGE(E182:J182),"")))</f>
        <v/>
      </c>
      <c r="L182" s="25">
        <f>IF(COUNT(E182:K182)&gt;4,MAX(E182:K182),"")</f>
        <v>5</v>
      </c>
      <c r="M182" s="25">
        <f>IF(COUNT(E182:K182)&gt;4,MIN(E182:K182),"")</f>
        <v>4.5999999999999996</v>
      </c>
      <c r="N182" s="88">
        <f>IF(COUNT(E182:K182)&gt;0,(SUM(E182:K182)-( SUM(L182:M182)  ))/(IF(COUNT(E182:K182)&gt;4,COUNT(E182:K182)-2,COUNT(E182:K182))),"")</f>
        <v>4.7666666666666666</v>
      </c>
      <c r="O182" s="139">
        <f>IF(COUNT(E182:K182)&gt;0,N182*Opcional1GD,"")</f>
        <v>9.0566666666666666</v>
      </c>
      <c r="P182" s="145"/>
      <c r="Q182" s="142"/>
      <c r="R182" s="107"/>
    </row>
    <row r="183" spans="1:18" x14ac:dyDescent="0.3">
      <c r="A183" s="108"/>
      <c r="B183" s="109"/>
      <c r="C183" s="108"/>
      <c r="D183" s="89">
        <f>Opcional2Cod</f>
        <v>327</v>
      </c>
      <c r="E183" s="102">
        <v>4.8</v>
      </c>
      <c r="F183" s="99">
        <v>5.0999999999999996</v>
      </c>
      <c r="G183" s="99">
        <v>4.7</v>
      </c>
      <c r="H183" s="99">
        <v>4.5</v>
      </c>
      <c r="I183" s="99">
        <v>5.3</v>
      </c>
      <c r="J183" s="99" t="str">
        <f>IF(JuecesPanel&gt;=6,"",IF((JuecesPanel+JuecesCalc)&lt;6,"",IF(COUNT(E183:I183)&gt;0,AVERAGE(E183:I183),"")))</f>
        <v/>
      </c>
      <c r="K183" s="99" t="str">
        <f>IF(JuecesPanel&gt;=7,"",IF((JuecesPanel+JuecesCalc)&lt;7,"",IF(COUNT(E183:J183)&gt;0,AVERAGE(E183:J183),"")))</f>
        <v/>
      </c>
      <c r="L183" s="99">
        <f>IF(COUNT(E183:K183)&gt;4,MAX(E183:K183),"")</f>
        <v>5.3</v>
      </c>
      <c r="M183" s="99">
        <f>IF(COUNT(E183:K183)&gt;4,MIN(E183:K183),"")</f>
        <v>4.5</v>
      </c>
      <c r="N183" s="110">
        <f>IF(COUNT(E183:K183)&gt;0,(SUM(E183:K183)-( SUM(L183:M183)  ))/(IF(COUNT(E183:K183)&gt;4,COUNT(E183:K183)-2,COUNT(E183:K183))),"")</f>
        <v>4.8666666666666663</v>
      </c>
      <c r="O183" s="140">
        <f>IF(COUNT(E183:K183)&gt;0,N183*Opcional2GD,"")</f>
        <v>8.76</v>
      </c>
      <c r="P183" s="146"/>
      <c r="Q183" s="143"/>
      <c r="R183" s="111"/>
    </row>
    <row r="184" spans="1:18" x14ac:dyDescent="0.3">
      <c r="A184" s="96">
        <v>45</v>
      </c>
      <c r="B184" s="104" t="s">
        <v>171</v>
      </c>
      <c r="C184" s="103" t="s">
        <v>123</v>
      </c>
      <c r="D184" s="89">
        <f>Obligatoria1Cod</f>
        <v>106</v>
      </c>
      <c r="E184" s="112">
        <v>5.2</v>
      </c>
      <c r="F184" s="98">
        <v>4.2</v>
      </c>
      <c r="G184" s="98">
        <v>5.0999999999999996</v>
      </c>
      <c r="H184" s="98">
        <v>5.6</v>
      </c>
      <c r="I184" s="98">
        <v>5.4</v>
      </c>
      <c r="J184" s="98" t="str">
        <f>IF(JuecesPanel&gt;=6,"",IF((JuecesPanel+JuecesCalc)&lt;6,"",IF(COUNT(E184:I184)&gt;0,AVERAGE(E184:I184),"")))</f>
        <v/>
      </c>
      <c r="K184" s="98" t="str">
        <f>IF(JuecesPanel&gt;=7,"",IF((JuecesPanel+JuecesCalc)&lt;7,"",IF(COUNT(E184:J184)&gt;0,AVERAGE(E184:J184),"")))</f>
        <v/>
      </c>
      <c r="L184" s="97">
        <f>IF(COUNT(E184:K184)&gt;4,MAX(E184:K184),"")</f>
        <v>5.6</v>
      </c>
      <c r="M184" s="97">
        <f>IF(COUNT(E184:K184)&gt;4,MIN(E184:K184),"")</f>
        <v>4.2</v>
      </c>
      <c r="N184" s="105">
        <f>IF(COUNT(E184:K184)&gt;0,(SUM(E184:K184)-( SUM(L184:M184)  ))/(IF(COUNT(E184:K184)&gt;4,COUNT(E184:K184)-2,COUNT(E184:K184))),"")</f>
        <v>5.2333333333333334</v>
      </c>
      <c r="O184" s="138">
        <f>IF(COUNT(E184:K184)&gt;0,N184*Obligatoria1GD,"")</f>
        <v>8.3733333333333331</v>
      </c>
      <c r="P184" s="144"/>
      <c r="Q184" s="141">
        <f>IF(COUNT(E184:K187)&gt;0,SUM(O184:O187),"")</f>
        <v>37.516666666666666</v>
      </c>
      <c r="R184" s="106">
        <f>IF(COUNT(E184:K187)&gt;0,((Q184/TotalGD)*10)-SUM(P184:P187),0)</f>
        <v>52.106481481481481</v>
      </c>
    </row>
    <row r="185" spans="1:18" x14ac:dyDescent="0.3">
      <c r="A185" s="87"/>
      <c r="B185" s="86"/>
      <c r="C185" s="87"/>
      <c r="D185" s="89">
        <f>Obligatoria2Cod</f>
        <v>301</v>
      </c>
      <c r="E185" s="101">
        <v>5</v>
      </c>
      <c r="F185" s="25">
        <v>5.0999999999999996</v>
      </c>
      <c r="G185" s="25">
        <v>5.6</v>
      </c>
      <c r="H185" s="25">
        <v>5.7</v>
      </c>
      <c r="I185" s="25">
        <v>5.5</v>
      </c>
      <c r="J185" s="25" t="str">
        <f>IF(JuecesPanel&gt;=6,"",IF((JuecesPanel+JuecesCalc)&lt;6,"",IF(COUNT(E185:I185)&gt;0,AVERAGE(E185:I185),"")))</f>
        <v/>
      </c>
      <c r="K185" s="25" t="str">
        <f>IF(JuecesPanel&gt;=7,"",IF((JuecesPanel+JuecesCalc)&lt;7,"",IF(COUNT(E185:J185)&gt;0,AVERAGE(E185:J185),"")))</f>
        <v/>
      </c>
      <c r="L185" s="25">
        <f>IF(COUNT(E185:K185)&gt;4,MAX(E185:K185),"")</f>
        <v>5.7</v>
      </c>
      <c r="M185" s="25">
        <f>IF(COUNT(E185:K185)&gt;4,MIN(E185:K185),"")</f>
        <v>5</v>
      </c>
      <c r="N185" s="88">
        <f>IF(COUNT(E185:K185)&gt;0,(SUM(E185:K185)-( SUM(L185:M185)  ))/(IF(COUNT(E185:K185)&gt;4,COUNT(E185:K185)-2,COUNT(E185:K185))),"")</f>
        <v>5.3999999999999995</v>
      </c>
      <c r="O185" s="139">
        <f>IF(COUNT(E185:K185)&gt;0,N185*Obligatoria2GD,"")</f>
        <v>10.259999999999998</v>
      </c>
      <c r="P185" s="145"/>
      <c r="Q185" s="142"/>
      <c r="R185" s="107"/>
    </row>
    <row r="186" spans="1:18" x14ac:dyDescent="0.3">
      <c r="A186" s="87"/>
      <c r="B186" s="86"/>
      <c r="C186" s="87"/>
      <c r="D186" s="89">
        <f>Opcional1Cod</f>
        <v>420</v>
      </c>
      <c r="E186" s="113">
        <v>4.9000000000000004</v>
      </c>
      <c r="F186" s="26">
        <v>4.5</v>
      </c>
      <c r="G186" s="26">
        <v>5.3</v>
      </c>
      <c r="H186" s="26">
        <v>5.5</v>
      </c>
      <c r="I186" s="26">
        <v>5.5</v>
      </c>
      <c r="J186" s="26" t="str">
        <f>IF(JuecesPanel&gt;=6,"",IF((JuecesPanel+JuecesCalc)&lt;6,"",IF(COUNT(E186:I186)&gt;0,AVERAGE(E186:I186),"")))</f>
        <v/>
      </c>
      <c r="K186" s="26" t="str">
        <f>IF(JuecesPanel&gt;=7,"",IF((JuecesPanel+JuecesCalc)&lt;7,"",IF(COUNT(E186:J186)&gt;0,AVERAGE(E186:J186),"")))</f>
        <v/>
      </c>
      <c r="L186" s="25">
        <f>IF(COUNT(E186:K186)&gt;4,MAX(E186:K186),"")</f>
        <v>5.5</v>
      </c>
      <c r="M186" s="25">
        <f>IF(COUNT(E186:K186)&gt;4,MIN(E186:K186),"")</f>
        <v>4.5</v>
      </c>
      <c r="N186" s="88">
        <f>IF(COUNT(E186:K186)&gt;0,(SUM(E186:K186)-( SUM(L186:M186)  ))/(IF(COUNT(E186:K186)&gt;4,COUNT(E186:K186)-2,COUNT(E186:K186))),"")</f>
        <v>5.2333333333333334</v>
      </c>
      <c r="O186" s="139">
        <f>IF(COUNT(E186:K186)&gt;0,N186*Opcional1GD,"")</f>
        <v>9.9433333333333334</v>
      </c>
      <c r="P186" s="145"/>
      <c r="Q186" s="142"/>
      <c r="R186" s="107"/>
    </row>
    <row r="187" spans="1:18" x14ac:dyDescent="0.3">
      <c r="A187" s="108"/>
      <c r="B187" s="109"/>
      <c r="C187" s="108"/>
      <c r="D187" s="89">
        <f>Opcional2Cod</f>
        <v>327</v>
      </c>
      <c r="E187" s="102">
        <v>5.0999999999999996</v>
      </c>
      <c r="F187" s="99">
        <v>5</v>
      </c>
      <c r="G187" s="99">
        <v>5.5</v>
      </c>
      <c r="H187" s="99">
        <v>4.8</v>
      </c>
      <c r="I187" s="99">
        <v>4.7</v>
      </c>
      <c r="J187" s="99" t="str">
        <f>IF(JuecesPanel&gt;=6,"",IF((JuecesPanel+JuecesCalc)&lt;6,"",IF(COUNT(E187:I187)&gt;0,AVERAGE(E187:I187),"")))</f>
        <v/>
      </c>
      <c r="K187" s="99" t="str">
        <f>IF(JuecesPanel&gt;=7,"",IF((JuecesPanel+JuecesCalc)&lt;7,"",IF(COUNT(E187:J187)&gt;0,AVERAGE(E187:J187),"")))</f>
        <v/>
      </c>
      <c r="L187" s="99">
        <f>IF(COUNT(E187:K187)&gt;4,MAX(E187:K187),"")</f>
        <v>5.5</v>
      </c>
      <c r="M187" s="99">
        <f>IF(COUNT(E187:K187)&gt;4,MIN(E187:K187),"")</f>
        <v>4.7</v>
      </c>
      <c r="N187" s="110">
        <f>IF(COUNT(E187:K187)&gt;0,(SUM(E187:K187)-( SUM(L187:M187)  ))/(IF(COUNT(E187:K187)&gt;4,COUNT(E187:K187)-2,COUNT(E187:K187))),"")</f>
        <v>4.9666666666666659</v>
      </c>
      <c r="O187" s="140">
        <f>IF(COUNT(E187:K187)&gt;0,N187*Opcional2GD,"")</f>
        <v>8.94</v>
      </c>
      <c r="P187" s="146"/>
      <c r="Q187" s="143"/>
      <c r="R187" s="111"/>
    </row>
    <row r="188" spans="1:18" x14ac:dyDescent="0.3">
      <c r="A188" s="96">
        <v>46</v>
      </c>
      <c r="B188" s="104" t="s">
        <v>172</v>
      </c>
      <c r="C188" s="103" t="s">
        <v>121</v>
      </c>
      <c r="D188" s="89">
        <f>Obligatoria1Cod</f>
        <v>106</v>
      </c>
      <c r="E188" s="112">
        <v>5</v>
      </c>
      <c r="F188" s="98">
        <v>5.0999999999999996</v>
      </c>
      <c r="G188" s="98">
        <v>4.9000000000000004</v>
      </c>
      <c r="H188" s="98">
        <v>5.5</v>
      </c>
      <c r="I188" s="98">
        <v>5</v>
      </c>
      <c r="J188" s="98" t="str">
        <f>IF(JuecesPanel&gt;=6,"",IF((JuecesPanel+JuecesCalc)&lt;6,"",IF(COUNT(E188:I188)&gt;0,AVERAGE(E188:I188),"")))</f>
        <v/>
      </c>
      <c r="K188" s="98" t="str">
        <f>IF(JuecesPanel&gt;=7,"",IF((JuecesPanel+JuecesCalc)&lt;7,"",IF(COUNT(E188:J188)&gt;0,AVERAGE(E188:J188),"")))</f>
        <v/>
      </c>
      <c r="L188" s="97">
        <f>IF(COUNT(E188:K188)&gt;4,MAX(E188:K188),"")</f>
        <v>5.5</v>
      </c>
      <c r="M188" s="97">
        <f>IF(COUNT(E188:K188)&gt;4,MIN(E188:K188),"")</f>
        <v>4.9000000000000004</v>
      </c>
      <c r="N188" s="105">
        <f>IF(COUNT(E188:K188)&gt;0,(SUM(E188:K188)-( SUM(L188:M188)  ))/(IF(COUNT(E188:K188)&gt;4,COUNT(E188:K188)-2,COUNT(E188:K188))),"")</f>
        <v>5.0333333333333332</v>
      </c>
      <c r="O188" s="138">
        <f>IF(COUNT(E188:K188)&gt;0,N188*Obligatoria1GD,"")</f>
        <v>8.0533333333333328</v>
      </c>
      <c r="P188" s="144"/>
      <c r="Q188" s="141">
        <f>IF(COUNT(E188:K191)&gt;0,SUM(O188:O191),"")</f>
        <v>34.936666666666667</v>
      </c>
      <c r="R188" s="106">
        <f>IF(COUNT(E188:K191)&gt;0,((Q188/TotalGD)*10)-SUM(P188:P191),0)</f>
        <v>48.523148148148145</v>
      </c>
    </row>
    <row r="189" spans="1:18" x14ac:dyDescent="0.3">
      <c r="A189" s="87"/>
      <c r="B189" s="86"/>
      <c r="C189" s="87"/>
      <c r="D189" s="89">
        <f>Obligatoria2Cod</f>
        <v>301</v>
      </c>
      <c r="E189" s="101">
        <v>4.9000000000000004</v>
      </c>
      <c r="F189" s="25">
        <v>4.3</v>
      </c>
      <c r="G189" s="25">
        <v>5.5</v>
      </c>
      <c r="H189" s="25">
        <v>4.7</v>
      </c>
      <c r="I189" s="25">
        <v>5.6</v>
      </c>
      <c r="J189" s="25" t="str">
        <f>IF(JuecesPanel&gt;=6,"",IF((JuecesPanel+JuecesCalc)&lt;6,"",IF(COUNT(E189:I189)&gt;0,AVERAGE(E189:I189),"")))</f>
        <v/>
      </c>
      <c r="K189" s="25" t="str">
        <f>IF(JuecesPanel&gt;=7,"",IF((JuecesPanel+JuecesCalc)&lt;7,"",IF(COUNT(E189:J189)&gt;0,AVERAGE(E189:J189),"")))</f>
        <v/>
      </c>
      <c r="L189" s="25">
        <f>IF(COUNT(E189:K189)&gt;4,MAX(E189:K189),"")</f>
        <v>5.6</v>
      </c>
      <c r="M189" s="25">
        <f>IF(COUNT(E189:K189)&gt;4,MIN(E189:K189),"")</f>
        <v>4.3</v>
      </c>
      <c r="N189" s="88">
        <f>IF(COUNT(E189:K189)&gt;0,(SUM(E189:K189)-( SUM(L189:M189)  ))/(IF(COUNT(E189:K189)&gt;4,COUNT(E189:K189)-2,COUNT(E189:K189))),"")</f>
        <v>5.0333333333333341</v>
      </c>
      <c r="O189" s="139">
        <f>IF(COUNT(E189:K189)&gt;0,N189*Obligatoria2GD,"")</f>
        <v>9.5633333333333344</v>
      </c>
      <c r="P189" s="145"/>
      <c r="Q189" s="142"/>
      <c r="R189" s="107"/>
    </row>
    <row r="190" spans="1:18" x14ac:dyDescent="0.3">
      <c r="A190" s="87"/>
      <c r="B190" s="86"/>
      <c r="C190" s="87"/>
      <c r="D190" s="89">
        <f>Opcional1Cod</f>
        <v>420</v>
      </c>
      <c r="E190" s="113">
        <v>4.4000000000000004</v>
      </c>
      <c r="F190" s="26">
        <v>4.8</v>
      </c>
      <c r="G190" s="26">
        <v>4.3</v>
      </c>
      <c r="H190" s="26">
        <v>4.7</v>
      </c>
      <c r="I190" s="26">
        <v>4.7</v>
      </c>
      <c r="J190" s="26" t="str">
        <f>IF(JuecesPanel&gt;=6,"",IF((JuecesPanel+JuecesCalc)&lt;6,"",IF(COUNT(E190:I190)&gt;0,AVERAGE(E190:I190),"")))</f>
        <v/>
      </c>
      <c r="K190" s="26" t="str">
        <f>IF(JuecesPanel&gt;=7,"",IF((JuecesPanel+JuecesCalc)&lt;7,"",IF(COUNT(E190:J190)&gt;0,AVERAGE(E190:J190),"")))</f>
        <v/>
      </c>
      <c r="L190" s="25">
        <f>IF(COUNT(E190:K190)&gt;4,MAX(E190:K190),"")</f>
        <v>4.8</v>
      </c>
      <c r="M190" s="25">
        <f>IF(COUNT(E190:K190)&gt;4,MIN(E190:K190),"")</f>
        <v>4.3</v>
      </c>
      <c r="N190" s="88">
        <f>IF(COUNT(E190:K190)&gt;0,(SUM(E190:K190)-( SUM(L190:M190)  ))/(IF(COUNT(E190:K190)&gt;4,COUNT(E190:K190)-2,COUNT(E190:K190))),"")</f>
        <v>4.5999999999999996</v>
      </c>
      <c r="O190" s="139">
        <f>IF(COUNT(E190:K190)&gt;0,N190*Opcional1GD,"")</f>
        <v>8.7399999999999984</v>
      </c>
      <c r="P190" s="145"/>
      <c r="Q190" s="142"/>
      <c r="R190" s="107"/>
    </row>
    <row r="191" spans="1:18" x14ac:dyDescent="0.3">
      <c r="A191" s="108"/>
      <c r="B191" s="109"/>
      <c r="C191" s="108"/>
      <c r="D191" s="89">
        <f>Opcional2Cod</f>
        <v>327</v>
      </c>
      <c r="E191" s="102">
        <v>4.7</v>
      </c>
      <c r="F191" s="99">
        <v>4.8</v>
      </c>
      <c r="G191" s="99">
        <v>4.7</v>
      </c>
      <c r="H191" s="99">
        <v>4.8</v>
      </c>
      <c r="I191" s="99">
        <v>5.0999999999999996</v>
      </c>
      <c r="J191" s="99" t="str">
        <f>IF(JuecesPanel&gt;=6,"",IF((JuecesPanel+JuecesCalc)&lt;6,"",IF(COUNT(E191:I191)&gt;0,AVERAGE(E191:I191),"")))</f>
        <v/>
      </c>
      <c r="K191" s="99" t="str">
        <f>IF(JuecesPanel&gt;=7,"",IF((JuecesPanel+JuecesCalc)&lt;7,"",IF(COUNT(E191:J191)&gt;0,AVERAGE(E191:J191),"")))</f>
        <v/>
      </c>
      <c r="L191" s="99">
        <f>IF(COUNT(E191:K191)&gt;4,MAX(E191:K191),"")</f>
        <v>5.0999999999999996</v>
      </c>
      <c r="M191" s="99">
        <f>IF(COUNT(E191:K191)&gt;4,MIN(E191:K191),"")</f>
        <v>4.7</v>
      </c>
      <c r="N191" s="110">
        <f>IF(COUNT(E191:K191)&gt;0,(SUM(E191:K191)-( SUM(L191:M191)  ))/(IF(COUNT(E191:K191)&gt;4,COUNT(E191:K191)-2,COUNT(E191:K191))),"")</f>
        <v>4.7666666666666666</v>
      </c>
      <c r="O191" s="140">
        <f>IF(COUNT(E191:K191)&gt;0,N191*Opcional2GD,"")</f>
        <v>8.58</v>
      </c>
      <c r="P191" s="146"/>
      <c r="Q191" s="143"/>
      <c r="R191" s="111"/>
    </row>
    <row r="192" spans="1:18" x14ac:dyDescent="0.3">
      <c r="A192" s="96">
        <v>47</v>
      </c>
      <c r="B192" s="104" t="s">
        <v>173</v>
      </c>
      <c r="C192" s="103" t="s">
        <v>124</v>
      </c>
      <c r="D192" s="89">
        <f>Obligatoria1Cod</f>
        <v>106</v>
      </c>
      <c r="E192" s="112">
        <v>5.0999999999999996</v>
      </c>
      <c r="F192" s="98">
        <v>4.9000000000000004</v>
      </c>
      <c r="G192" s="98">
        <v>4.7</v>
      </c>
      <c r="H192" s="98">
        <v>5.0999999999999996</v>
      </c>
      <c r="I192" s="98">
        <v>5</v>
      </c>
      <c r="J192" s="98" t="str">
        <f>IF(JuecesPanel&gt;=6,"",IF((JuecesPanel+JuecesCalc)&lt;6,"",IF(COUNT(E192:I192)&gt;0,AVERAGE(E192:I192),"")))</f>
        <v/>
      </c>
      <c r="K192" s="98" t="str">
        <f>IF(JuecesPanel&gt;=7,"",IF((JuecesPanel+JuecesCalc)&lt;7,"",IF(COUNT(E192:J192)&gt;0,AVERAGE(E192:J192),"")))</f>
        <v/>
      </c>
      <c r="L192" s="97">
        <f>IF(COUNT(E192:K192)&gt;4,MAX(E192:K192),"")</f>
        <v>5.0999999999999996</v>
      </c>
      <c r="M192" s="97">
        <f>IF(COUNT(E192:K192)&gt;4,MIN(E192:K192),"")</f>
        <v>4.7</v>
      </c>
      <c r="N192" s="105">
        <f>IF(COUNT(E192:K192)&gt;0,(SUM(E192:K192)-( SUM(L192:M192)  ))/(IF(COUNT(E192:K192)&gt;4,COUNT(E192:K192)-2,COUNT(E192:K192))),"")</f>
        <v>4.9999999999999991</v>
      </c>
      <c r="O192" s="138">
        <f>IF(COUNT(E192:K192)&gt;0,N192*Obligatoria1GD,"")</f>
        <v>7.9999999999999991</v>
      </c>
      <c r="P192" s="144"/>
      <c r="Q192" s="141">
        <f>IF(COUNT(E192:K195)&gt;0,SUM(O192:O195),"")</f>
        <v>34.743333333333332</v>
      </c>
      <c r="R192" s="106">
        <f>IF(COUNT(E192:K195)&gt;0,((Q192/TotalGD)*10)-SUM(P192:P195),0)</f>
        <v>48.254629629629626</v>
      </c>
    </row>
    <row r="193" spans="1:18" x14ac:dyDescent="0.3">
      <c r="A193" s="87"/>
      <c r="B193" s="86"/>
      <c r="C193" s="87"/>
      <c r="D193" s="89">
        <f>Obligatoria2Cod</f>
        <v>301</v>
      </c>
      <c r="E193" s="101">
        <v>5</v>
      </c>
      <c r="F193" s="25">
        <v>4.5</v>
      </c>
      <c r="G193" s="25">
        <v>5.0999999999999996</v>
      </c>
      <c r="H193" s="25">
        <v>5.0999999999999996</v>
      </c>
      <c r="I193" s="25">
        <v>5</v>
      </c>
      <c r="J193" s="25" t="str">
        <f>IF(JuecesPanel&gt;=6,"",IF((JuecesPanel+JuecesCalc)&lt;6,"",IF(COUNT(E193:I193)&gt;0,AVERAGE(E193:I193),"")))</f>
        <v/>
      </c>
      <c r="K193" s="25" t="str">
        <f>IF(JuecesPanel&gt;=7,"",IF((JuecesPanel+JuecesCalc)&lt;7,"",IF(COUNT(E193:J193)&gt;0,AVERAGE(E193:J193),"")))</f>
        <v/>
      </c>
      <c r="L193" s="25">
        <f>IF(COUNT(E193:K193)&gt;4,MAX(E193:K193),"")</f>
        <v>5.0999999999999996</v>
      </c>
      <c r="M193" s="25">
        <f>IF(COUNT(E193:K193)&gt;4,MIN(E193:K193),"")</f>
        <v>4.5</v>
      </c>
      <c r="N193" s="88">
        <f>IF(COUNT(E193:K193)&gt;0,(SUM(E193:K193)-( SUM(L193:M193)  ))/(IF(COUNT(E193:K193)&gt;4,COUNT(E193:K193)-2,COUNT(E193:K193))),"")</f>
        <v>5.0333333333333332</v>
      </c>
      <c r="O193" s="139">
        <f>IF(COUNT(E193:K193)&gt;0,N193*Obligatoria2GD,"")</f>
        <v>9.5633333333333326</v>
      </c>
      <c r="P193" s="145"/>
      <c r="Q193" s="142"/>
      <c r="R193" s="107"/>
    </row>
    <row r="194" spans="1:18" x14ac:dyDescent="0.3">
      <c r="A194" s="87"/>
      <c r="B194" s="86"/>
      <c r="C194" s="87"/>
      <c r="D194" s="89">
        <f>Opcional1Cod</f>
        <v>420</v>
      </c>
      <c r="E194" s="113">
        <v>4.0999999999999996</v>
      </c>
      <c r="F194" s="26">
        <v>4.7</v>
      </c>
      <c r="G194" s="26">
        <v>4.0999999999999996</v>
      </c>
      <c r="H194" s="26">
        <v>4.5999999999999996</v>
      </c>
      <c r="I194" s="26">
        <v>4.5</v>
      </c>
      <c r="J194" s="26" t="str">
        <f>IF(JuecesPanel&gt;=6,"",IF((JuecesPanel+JuecesCalc)&lt;6,"",IF(COUNT(E194:I194)&gt;0,AVERAGE(E194:I194),"")))</f>
        <v/>
      </c>
      <c r="K194" s="26" t="str">
        <f>IF(JuecesPanel&gt;=7,"",IF((JuecesPanel+JuecesCalc)&lt;7,"",IF(COUNT(E194:J194)&gt;0,AVERAGE(E194:J194),"")))</f>
        <v/>
      </c>
      <c r="L194" s="25">
        <f>IF(COUNT(E194:K194)&gt;4,MAX(E194:K194),"")</f>
        <v>4.7</v>
      </c>
      <c r="M194" s="25">
        <f>IF(COUNT(E194:K194)&gt;4,MIN(E194:K194),"")</f>
        <v>4.0999999999999996</v>
      </c>
      <c r="N194" s="88">
        <f>IF(COUNT(E194:K194)&gt;0,(SUM(E194:K194)-( SUM(L194:M194)  ))/(IF(COUNT(E194:K194)&gt;4,COUNT(E194:K194)-2,COUNT(E194:K194))),"")</f>
        <v>4.3999999999999995</v>
      </c>
      <c r="O194" s="139">
        <f>IF(COUNT(E194:K194)&gt;0,N194*Opcional1GD,"")</f>
        <v>8.36</v>
      </c>
      <c r="P194" s="145"/>
      <c r="Q194" s="142"/>
      <c r="R194" s="107"/>
    </row>
    <row r="195" spans="1:18" x14ac:dyDescent="0.3">
      <c r="A195" s="108"/>
      <c r="B195" s="109"/>
      <c r="C195" s="108"/>
      <c r="D195" s="89">
        <f>Opcional2Cod</f>
        <v>327</v>
      </c>
      <c r="E195" s="102">
        <v>4.2</v>
      </c>
      <c r="F195" s="99">
        <v>5</v>
      </c>
      <c r="G195" s="99">
        <v>5.0999999999999996</v>
      </c>
      <c r="H195" s="99">
        <v>4.8</v>
      </c>
      <c r="I195" s="99">
        <v>4.9000000000000004</v>
      </c>
      <c r="J195" s="99" t="str">
        <f>IF(JuecesPanel&gt;=6,"",IF((JuecesPanel+JuecesCalc)&lt;6,"",IF(COUNT(E195:I195)&gt;0,AVERAGE(E195:I195),"")))</f>
        <v/>
      </c>
      <c r="K195" s="99" t="str">
        <f>IF(JuecesPanel&gt;=7,"",IF((JuecesPanel+JuecesCalc)&lt;7,"",IF(COUNT(E195:J195)&gt;0,AVERAGE(E195:J195),"")))</f>
        <v/>
      </c>
      <c r="L195" s="99">
        <f>IF(COUNT(E195:K195)&gt;4,MAX(E195:K195),"")</f>
        <v>5.0999999999999996</v>
      </c>
      <c r="M195" s="99">
        <f>IF(COUNT(E195:K195)&gt;4,MIN(E195:K195),"")</f>
        <v>4.2</v>
      </c>
      <c r="N195" s="110">
        <f>IF(COUNT(E195:K195)&gt;0,(SUM(E195:K195)-( SUM(L195:M195)  ))/(IF(COUNT(E195:K195)&gt;4,COUNT(E195:K195)-2,COUNT(E195:K195))),"")</f>
        <v>4.8999999999999995</v>
      </c>
      <c r="O195" s="140">
        <f>IF(COUNT(E195:K195)&gt;0,N195*Opcional2GD,"")</f>
        <v>8.8199999999999985</v>
      </c>
      <c r="P195" s="146"/>
      <c r="Q195" s="143"/>
      <c r="R195" s="111"/>
    </row>
    <row r="196" spans="1:18" x14ac:dyDescent="0.3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</row>
  </sheetData>
  <mergeCells count="6">
    <mergeCell ref="Q6:R6"/>
    <mergeCell ref="A4:F4"/>
    <mergeCell ref="A1:F1"/>
    <mergeCell ref="A2:F2"/>
    <mergeCell ref="A3:F3"/>
    <mergeCell ref="E6:K6"/>
  </mergeCells>
  <phoneticPr fontId="25" type="noConversion"/>
  <conditionalFormatting sqref="A8:R196">
    <cfRule type="expression" dxfId="0" priority="2">
      <formula>"BUSCARV($B$8;tblDeportistas[[Deportista]:[Compite]];4;0)&gt;0"</formula>
    </cfRule>
  </conditionalFormatting>
  <printOptions horizontalCentered="1"/>
  <pageMargins left="0.15748031496062992" right="0.15748031496062992" top="0.46" bottom="0.87" header="0.31496062992125984" footer="0.31496062992125984"/>
  <pageSetup scale="91" fitToHeight="0" orientation="portrait" errors="NA" r:id="rId1"/>
  <headerFooter>
    <oddFooter>&amp;L[&amp;A]&amp;RPágina &amp;P de &amp;N</oddFooter>
  </headerFooter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977C2-11EB-4A1F-8AC7-BA642DAA1497}">
  <sheetPr codeName="Hoja3">
    <pageSetUpPr fitToPage="1"/>
  </sheetPr>
  <dimension ref="A1:XFC54"/>
  <sheetViews>
    <sheetView showGridLines="0" zoomScale="90" zoomScaleNormal="90" workbookViewId="0">
      <selection activeCell="A5" sqref="A5"/>
    </sheetView>
  </sheetViews>
  <sheetFormatPr baseColWidth="10" defaultColWidth="0" defaultRowHeight="14.4" x14ac:dyDescent="0.3"/>
  <cols>
    <col min="1" max="1" width="7" style="130" customWidth="1"/>
    <col min="2" max="2" width="35" style="131" customWidth="1"/>
    <col min="3" max="3" width="25" style="124" customWidth="1"/>
    <col min="4" max="4" width="16.77734375" style="130" hidden="1" customWidth="1"/>
    <col min="5" max="5" width="9.5546875" style="130" customWidth="1"/>
    <col min="6" max="6" width="11" style="130" customWidth="1"/>
    <col min="7" max="7" width="2.109375" style="13" customWidth="1"/>
    <col min="8" max="8" width="10.44140625" style="13" hidden="1"/>
    <col min="9" max="9" width="3.44140625" style="13" hidden="1"/>
    <col min="10" max="16383" width="15.109375" style="13" hidden="1"/>
    <col min="16384" max="16384" width="0.109375" style="13" hidden="1"/>
  </cols>
  <sheetData>
    <row r="1" spans="1:8" ht="15.75" customHeight="1" x14ac:dyDescent="0.3">
      <c r="A1" s="227" t="str">
        <f>HeadLin1</f>
        <v>Liga de Natación de Antioquia</v>
      </c>
      <c r="B1" s="227"/>
      <c r="C1" s="227"/>
      <c r="D1" s="227"/>
      <c r="E1" s="127"/>
      <c r="F1" s="127"/>
    </row>
    <row r="2" spans="1:8" ht="15.75" customHeight="1" x14ac:dyDescent="0.3">
      <c r="A2" s="227" t="str">
        <f>HeadLin2</f>
        <v>Festival infantil departamental Fase I</v>
      </c>
      <c r="B2" s="227"/>
      <c r="C2" s="227"/>
      <c r="D2" s="227"/>
      <c r="E2" s="127"/>
      <c r="F2" s="127"/>
    </row>
    <row r="3" spans="1:8" ht="15.75" customHeight="1" x14ac:dyDescent="0.3">
      <c r="A3" s="227" t="str">
        <f>HeadLin3</f>
        <v>Figuras - Categoría Infantil</v>
      </c>
      <c r="B3" s="227"/>
      <c r="C3" s="227"/>
      <c r="D3" s="227"/>
      <c r="E3" s="127"/>
      <c r="F3" s="127"/>
    </row>
    <row r="4" spans="1:8" ht="15.75" customHeight="1" x14ac:dyDescent="0.3">
      <c r="A4" s="227" t="str">
        <f>HeadLin4</f>
        <v>Abril 23 de 2022</v>
      </c>
      <c r="B4" s="227"/>
      <c r="C4" s="227"/>
      <c r="D4" s="227"/>
      <c r="E4" s="128"/>
      <c r="F4" s="128"/>
    </row>
    <row r="5" spans="1:8" s="129" customFormat="1" ht="11.25" customHeight="1" x14ac:dyDescent="0.3">
      <c r="A5" s="132"/>
      <c r="B5" s="132"/>
      <c r="C5" s="132"/>
      <c r="D5" s="132"/>
      <c r="E5" s="133"/>
      <c r="F5" s="133"/>
    </row>
    <row r="6" spans="1:8" s="129" customFormat="1" ht="15.6" x14ac:dyDescent="0.3">
      <c r="A6" s="228" t="s">
        <v>35</v>
      </c>
      <c r="B6" s="228"/>
      <c r="C6" s="228"/>
      <c r="D6" s="228"/>
      <c r="E6" s="228"/>
      <c r="F6" s="228"/>
    </row>
    <row r="7" spans="1:8" ht="30" customHeight="1" x14ac:dyDescent="0.3">
      <c r="A7" s="28" t="s">
        <v>36</v>
      </c>
      <c r="B7" s="29" t="s">
        <v>6</v>
      </c>
      <c r="C7" s="29" t="s">
        <v>7</v>
      </c>
      <c r="D7" s="29" t="s">
        <v>31</v>
      </c>
      <c r="E7" s="28" t="s">
        <v>38</v>
      </c>
      <c r="F7" s="28" t="s">
        <v>37</v>
      </c>
      <c r="G7" s="135"/>
    </row>
    <row r="8" spans="1:8" x14ac:dyDescent="0.3">
      <c r="A8" s="30">
        <v>18</v>
      </c>
      <c r="B8" s="31" t="s">
        <v>152</v>
      </c>
      <c r="C8" s="31" t="s">
        <v>121</v>
      </c>
      <c r="D8" s="126"/>
      <c r="E8" s="32">
        <f>_xlfn.XLOOKUP(tblPosiciones[[#This Row],[Deportista]],tblPlanilla[Deportista],tblPlanilla[TOTAL])</f>
        <v>53.995370370370367</v>
      </c>
      <c r="F8" s="33">
        <v>1</v>
      </c>
      <c r="G8" s="134"/>
    </row>
    <row r="9" spans="1:8" x14ac:dyDescent="0.3">
      <c r="A9" s="30">
        <v>6</v>
      </c>
      <c r="B9" s="31" t="s">
        <v>140</v>
      </c>
      <c r="C9" s="31" t="s">
        <v>123</v>
      </c>
      <c r="D9" s="126"/>
      <c r="E9" s="32">
        <f>_xlfn.XLOOKUP(tblPosiciones[[#This Row],[Deportista]],tblPlanilla[Deportista],tblPlanilla[TOTAL])</f>
        <v>53.875</v>
      </c>
      <c r="F9" s="33">
        <v>2</v>
      </c>
      <c r="G9" s="134"/>
    </row>
    <row r="10" spans="1:8" x14ac:dyDescent="0.3">
      <c r="A10" s="30">
        <v>30</v>
      </c>
      <c r="B10" s="31" t="s">
        <v>160</v>
      </c>
      <c r="C10" s="31" t="s">
        <v>123</v>
      </c>
      <c r="D10" s="126"/>
      <c r="E10" s="32">
        <f>_xlfn.XLOOKUP(tblPosiciones[[#This Row],[Deportista]],tblPlanilla[Deportista],tblPlanilla[TOTAL])</f>
        <v>53.356481481481488</v>
      </c>
      <c r="F10" s="33">
        <v>3</v>
      </c>
      <c r="G10" s="134"/>
    </row>
    <row r="11" spans="1:8" x14ac:dyDescent="0.3">
      <c r="A11" s="30">
        <v>8</v>
      </c>
      <c r="B11" s="31" t="s">
        <v>142</v>
      </c>
      <c r="C11" s="31" t="s">
        <v>123</v>
      </c>
      <c r="D11" s="126"/>
      <c r="E11" s="32">
        <f>_xlfn.XLOOKUP(tblPosiciones[[#This Row],[Deportista]],tblPlanilla[Deportista],tblPlanilla[TOTAL])</f>
        <v>53.277777777777786</v>
      </c>
      <c r="F11" s="33">
        <v>4</v>
      </c>
      <c r="G11" s="134"/>
    </row>
    <row r="12" spans="1:8" x14ac:dyDescent="0.3">
      <c r="A12" s="30">
        <v>9</v>
      </c>
      <c r="B12" s="31" t="s">
        <v>143</v>
      </c>
      <c r="C12" s="31" t="s">
        <v>123</v>
      </c>
      <c r="D12" s="126"/>
      <c r="E12" s="32">
        <f>_xlfn.XLOOKUP(tblPosiciones[[#This Row],[Deportista]],tblPlanilla[Deportista],tblPlanilla[TOTAL])</f>
        <v>52.180555555555543</v>
      </c>
      <c r="F12" s="33">
        <v>5</v>
      </c>
      <c r="G12" s="134"/>
    </row>
    <row r="13" spans="1:8" x14ac:dyDescent="0.3">
      <c r="A13" s="30">
        <v>45</v>
      </c>
      <c r="B13" s="31" t="s">
        <v>171</v>
      </c>
      <c r="C13" s="31" t="s">
        <v>123</v>
      </c>
      <c r="D13" s="126"/>
      <c r="E13" s="32">
        <f>_xlfn.XLOOKUP(tblPosiciones[[#This Row],[Deportista]],tblPlanilla[Deportista],tblPlanilla[TOTAL])</f>
        <v>52.106481481481481</v>
      </c>
      <c r="F13" s="33">
        <v>6</v>
      </c>
      <c r="G13" s="134"/>
    </row>
    <row r="14" spans="1:8" x14ac:dyDescent="0.3">
      <c r="A14" s="30">
        <v>28</v>
      </c>
      <c r="B14" s="31" t="s">
        <v>158</v>
      </c>
      <c r="C14" s="31" t="s">
        <v>123</v>
      </c>
      <c r="D14" s="126"/>
      <c r="E14" s="32">
        <f>_xlfn.XLOOKUP(tblPosiciones[[#This Row],[Deportista]],tblPlanilla[Deportista],tblPlanilla[TOTAL])</f>
        <v>51.703703703703702</v>
      </c>
      <c r="F14" s="33">
        <v>7</v>
      </c>
      <c r="G14" s="134"/>
    </row>
    <row r="15" spans="1:8" x14ac:dyDescent="0.3">
      <c r="A15" s="30">
        <v>37</v>
      </c>
      <c r="B15" s="31" t="s">
        <v>165</v>
      </c>
      <c r="C15" s="31" t="s">
        <v>123</v>
      </c>
      <c r="D15" s="126"/>
      <c r="E15" s="32">
        <f>_xlfn.XLOOKUP(tblPosiciones[[#This Row],[Deportista]],tblPlanilla[Deportista],tblPlanilla[TOTAL])</f>
        <v>51.138888888888886</v>
      </c>
      <c r="F15" s="33">
        <v>8</v>
      </c>
      <c r="H15" s="134"/>
    </row>
    <row r="16" spans="1:8" x14ac:dyDescent="0.3">
      <c r="A16" s="30">
        <v>44</v>
      </c>
      <c r="B16" s="31" t="s">
        <v>130</v>
      </c>
      <c r="C16" s="31" t="s">
        <v>121</v>
      </c>
      <c r="D16" s="126"/>
      <c r="E16" s="32">
        <f>_xlfn.XLOOKUP(tblPosiciones[[#This Row],[Deportista]],tblPlanilla[Deportista],tblPlanilla[TOTAL])</f>
        <v>51.037037037037024</v>
      </c>
      <c r="F16" s="33">
        <v>9</v>
      </c>
      <c r="H16" s="134"/>
    </row>
    <row r="17" spans="1:8" x14ac:dyDescent="0.3">
      <c r="A17" s="30">
        <v>35</v>
      </c>
      <c r="B17" s="31" t="s">
        <v>163</v>
      </c>
      <c r="C17" s="31" t="s">
        <v>123</v>
      </c>
      <c r="D17" s="126"/>
      <c r="E17" s="32">
        <f>_xlfn.XLOOKUP(tblPosiciones[[#This Row],[Deportista]],tblPlanilla[Deportista],tblPlanilla[TOTAL])</f>
        <v>50.592592592592581</v>
      </c>
      <c r="F17" s="33">
        <v>10</v>
      </c>
      <c r="H17" s="134"/>
    </row>
    <row r="18" spans="1:8" x14ac:dyDescent="0.3">
      <c r="A18" s="30">
        <v>17</v>
      </c>
      <c r="B18" s="31" t="s">
        <v>151</v>
      </c>
      <c r="C18" s="31" t="s">
        <v>123</v>
      </c>
      <c r="D18" s="126"/>
      <c r="E18" s="32">
        <f>_xlfn.XLOOKUP(tblPosiciones[[#This Row],[Deportista]],tblPlanilla[Deportista],tblPlanilla[TOTAL])</f>
        <v>50.337962962962955</v>
      </c>
      <c r="F18" s="33">
        <v>11</v>
      </c>
      <c r="H18" s="134"/>
    </row>
    <row r="19" spans="1:8" x14ac:dyDescent="0.3">
      <c r="A19" s="30">
        <v>33</v>
      </c>
      <c r="B19" s="31" t="s">
        <v>129</v>
      </c>
      <c r="C19" s="31" t="s">
        <v>123</v>
      </c>
      <c r="D19" s="126"/>
      <c r="E19" s="32">
        <f>_xlfn.XLOOKUP(tblPosiciones[[#This Row],[Deportista]],tblPlanilla[Deportista],tblPlanilla[TOTAL])</f>
        <v>50.324074074074062</v>
      </c>
      <c r="F19" s="33">
        <v>12</v>
      </c>
      <c r="H19" s="134"/>
    </row>
    <row r="20" spans="1:8" x14ac:dyDescent="0.3">
      <c r="A20" s="30">
        <v>25</v>
      </c>
      <c r="B20" s="31" t="s">
        <v>127</v>
      </c>
      <c r="C20" s="31" t="s">
        <v>123</v>
      </c>
      <c r="D20" s="126"/>
      <c r="E20" s="32">
        <f>_xlfn.XLOOKUP(tblPosiciones[[#This Row],[Deportista]],tblPlanilla[Deportista],tblPlanilla[TOTAL])</f>
        <v>50.134259259259267</v>
      </c>
      <c r="F20" s="33">
        <v>13</v>
      </c>
      <c r="H20" s="134"/>
    </row>
    <row r="21" spans="1:8" x14ac:dyDescent="0.3">
      <c r="A21" s="30">
        <v>14</v>
      </c>
      <c r="B21" s="31" t="s">
        <v>148</v>
      </c>
      <c r="C21" s="31" t="s">
        <v>122</v>
      </c>
      <c r="D21" s="126"/>
      <c r="E21" s="32">
        <f>_xlfn.XLOOKUP(tblPosiciones[[#This Row],[Deportista]],tblPlanilla[Deportista],tblPlanilla[TOTAL])</f>
        <v>49.972222222222214</v>
      </c>
      <c r="F21" s="33">
        <v>14</v>
      </c>
      <c r="H21" s="134"/>
    </row>
    <row r="22" spans="1:8" x14ac:dyDescent="0.3">
      <c r="A22" s="30">
        <v>24</v>
      </c>
      <c r="B22" s="31" t="s">
        <v>156</v>
      </c>
      <c r="C22" s="31" t="s">
        <v>121</v>
      </c>
      <c r="D22" s="126"/>
      <c r="E22" s="32">
        <f>_xlfn.XLOOKUP(tblPosiciones[[#This Row],[Deportista]],tblPlanilla[Deportista],tblPlanilla[TOTAL])</f>
        <v>48.874999999999993</v>
      </c>
      <c r="F22" s="33">
        <v>15</v>
      </c>
      <c r="H22" s="134"/>
    </row>
    <row r="23" spans="1:8" x14ac:dyDescent="0.3">
      <c r="A23" s="30">
        <v>15</v>
      </c>
      <c r="B23" s="31" t="s">
        <v>149</v>
      </c>
      <c r="C23" s="31" t="s">
        <v>124</v>
      </c>
      <c r="D23" s="126"/>
      <c r="E23" s="32">
        <f>_xlfn.XLOOKUP(tblPosiciones[[#This Row],[Deportista]],tblPlanilla[Deportista],tblPlanilla[TOTAL])</f>
        <v>48.592592592592595</v>
      </c>
      <c r="F23" s="33">
        <v>16</v>
      </c>
      <c r="H23" s="134"/>
    </row>
    <row r="24" spans="1:8" x14ac:dyDescent="0.3">
      <c r="A24" s="30">
        <v>46</v>
      </c>
      <c r="B24" s="31" t="s">
        <v>172</v>
      </c>
      <c r="C24" s="31" t="s">
        <v>121</v>
      </c>
      <c r="D24" s="126"/>
      <c r="E24" s="32">
        <f>_xlfn.XLOOKUP(tblPosiciones[[#This Row],[Deportista]],tblPlanilla[Deportista],tblPlanilla[TOTAL])</f>
        <v>48.523148148148145</v>
      </c>
      <c r="F24" s="33">
        <v>17</v>
      </c>
      <c r="H24" s="134"/>
    </row>
    <row r="25" spans="1:8" x14ac:dyDescent="0.3">
      <c r="A25" s="30">
        <v>47</v>
      </c>
      <c r="B25" s="31" t="s">
        <v>173</v>
      </c>
      <c r="C25" s="31" t="s">
        <v>124</v>
      </c>
      <c r="D25" s="126"/>
      <c r="E25" s="32">
        <f>_xlfn.XLOOKUP(tblPosiciones[[#This Row],[Deportista]],tblPlanilla[Deportista],tblPlanilla[TOTAL])</f>
        <v>48.254629629629626</v>
      </c>
      <c r="F25" s="33">
        <v>18</v>
      </c>
      <c r="H25" s="134"/>
    </row>
    <row r="26" spans="1:8" x14ac:dyDescent="0.3">
      <c r="A26" s="30">
        <v>31</v>
      </c>
      <c r="B26" s="31" t="s">
        <v>161</v>
      </c>
      <c r="C26" s="31" t="s">
        <v>121</v>
      </c>
      <c r="D26" s="126"/>
      <c r="E26" s="32">
        <f>_xlfn.XLOOKUP(tblPosiciones[[#This Row],[Deportista]],tblPlanilla[Deportista],tblPlanilla[TOTAL])</f>
        <v>48.060185185185176</v>
      </c>
      <c r="F26" s="33">
        <v>19</v>
      </c>
      <c r="H26" s="134"/>
    </row>
    <row r="27" spans="1:8" x14ac:dyDescent="0.3">
      <c r="A27" s="30">
        <v>26</v>
      </c>
      <c r="B27" s="31" t="s">
        <v>157</v>
      </c>
      <c r="C27" s="31" t="s">
        <v>121</v>
      </c>
      <c r="D27" s="126"/>
      <c r="E27" s="32">
        <f>_xlfn.XLOOKUP(tblPosiciones[[#This Row],[Deportista]],tblPlanilla[Deportista],tblPlanilla[TOTAL])</f>
        <v>48.018518518518512</v>
      </c>
      <c r="F27" s="33">
        <v>20</v>
      </c>
      <c r="H27" s="134"/>
    </row>
    <row r="28" spans="1:8" x14ac:dyDescent="0.3">
      <c r="A28" s="30">
        <v>16</v>
      </c>
      <c r="B28" s="31" t="s">
        <v>150</v>
      </c>
      <c r="C28" s="31" t="s">
        <v>121</v>
      </c>
      <c r="D28" s="126"/>
      <c r="E28" s="32">
        <f>_xlfn.XLOOKUP(tblPosiciones[[#This Row],[Deportista]],tblPlanilla[Deportista],tblPlanilla[TOTAL])</f>
        <v>47.638888888888886</v>
      </c>
      <c r="F28" s="33">
        <v>21</v>
      </c>
      <c r="H28" s="134"/>
    </row>
    <row r="29" spans="1:8" x14ac:dyDescent="0.3">
      <c r="A29" s="30">
        <v>19</v>
      </c>
      <c r="B29" s="31" t="s">
        <v>153</v>
      </c>
      <c r="C29" s="31" t="s">
        <v>114</v>
      </c>
      <c r="D29" s="126"/>
      <c r="E29" s="32">
        <f>_xlfn.XLOOKUP(tblPosiciones[[#This Row],[Deportista]],tblPlanilla[Deportista],tblPlanilla[TOTAL])</f>
        <v>47.282407407407405</v>
      </c>
      <c r="F29" s="33">
        <v>22</v>
      </c>
      <c r="H29" s="134"/>
    </row>
    <row r="30" spans="1:8" x14ac:dyDescent="0.3">
      <c r="A30" s="30">
        <v>22</v>
      </c>
      <c r="B30" s="31" t="s">
        <v>155</v>
      </c>
      <c r="C30" s="31" t="s">
        <v>121</v>
      </c>
      <c r="D30" s="126"/>
      <c r="E30" s="32">
        <f>_xlfn.XLOOKUP(tblPosiciones[[#This Row],[Deportista]],tblPlanilla[Deportista],tblPlanilla[TOTAL])</f>
        <v>46.601851851851855</v>
      </c>
      <c r="F30" s="33">
        <v>23</v>
      </c>
      <c r="H30" s="134"/>
    </row>
    <row r="31" spans="1:8" x14ac:dyDescent="0.3">
      <c r="A31" s="30">
        <v>27</v>
      </c>
      <c r="B31" s="31" t="s">
        <v>126</v>
      </c>
      <c r="C31" s="31" t="s">
        <v>121</v>
      </c>
      <c r="D31" s="126"/>
      <c r="E31" s="32">
        <f>_xlfn.XLOOKUP(tblPosiciones[[#This Row],[Deportista]],tblPlanilla[Deportista],tblPlanilla[TOTAL])</f>
        <v>46.56481481481481</v>
      </c>
      <c r="F31" s="33">
        <v>24</v>
      </c>
      <c r="H31" s="134"/>
    </row>
    <row r="32" spans="1:8" x14ac:dyDescent="0.3">
      <c r="A32" s="30">
        <v>34</v>
      </c>
      <c r="B32" s="31" t="s">
        <v>162</v>
      </c>
      <c r="C32" s="31" t="s">
        <v>122</v>
      </c>
      <c r="D32" s="126"/>
      <c r="E32" s="32">
        <f>_xlfn.XLOOKUP(tblPosiciones[[#This Row],[Deportista]],tblPlanilla[Deportista],tblPlanilla[TOTAL])</f>
        <v>46.337962962962955</v>
      </c>
      <c r="F32" s="33">
        <v>25</v>
      </c>
      <c r="H32" s="134"/>
    </row>
    <row r="33" spans="1:8" x14ac:dyDescent="0.3">
      <c r="A33" s="30">
        <v>10</v>
      </c>
      <c r="B33" s="31" t="s">
        <v>144</v>
      </c>
      <c r="C33" s="31" t="s">
        <v>121</v>
      </c>
      <c r="D33" s="126"/>
      <c r="E33" s="32">
        <f>_xlfn.XLOOKUP(tblPosiciones[[#This Row],[Deportista]],tblPlanilla[Deportista],tblPlanilla[TOTAL])</f>
        <v>45.824074074074076</v>
      </c>
      <c r="F33" s="33">
        <v>26</v>
      </c>
      <c r="H33" s="134"/>
    </row>
    <row r="34" spans="1:8" x14ac:dyDescent="0.3">
      <c r="A34" s="30">
        <v>21</v>
      </c>
      <c r="B34" s="31" t="s">
        <v>154</v>
      </c>
      <c r="C34" s="31" t="s">
        <v>121</v>
      </c>
      <c r="D34" s="126"/>
      <c r="E34" s="32">
        <f>_xlfn.XLOOKUP(tblPosiciones[[#This Row],[Deportista]],tblPlanilla[Deportista],tblPlanilla[TOTAL])</f>
        <v>45.337962962962962</v>
      </c>
      <c r="F34" s="33">
        <v>27</v>
      </c>
      <c r="H34" s="134"/>
    </row>
    <row r="35" spans="1:8" x14ac:dyDescent="0.3">
      <c r="A35" s="30">
        <v>11</v>
      </c>
      <c r="B35" s="31" t="s">
        <v>145</v>
      </c>
      <c r="C35" s="31" t="s">
        <v>123</v>
      </c>
      <c r="D35" s="126"/>
      <c r="E35" s="32">
        <f>_xlfn.XLOOKUP(tblPosiciones[[#This Row],[Deportista]],tblPlanilla[Deportista],tblPlanilla[TOTAL])</f>
        <v>45.060185185185176</v>
      </c>
      <c r="F35" s="33">
        <v>28</v>
      </c>
      <c r="H35" s="134"/>
    </row>
    <row r="36" spans="1:8" x14ac:dyDescent="0.3">
      <c r="A36" s="30">
        <v>41</v>
      </c>
      <c r="B36" s="31" t="s">
        <v>169</v>
      </c>
      <c r="C36" s="31" t="s">
        <v>121</v>
      </c>
      <c r="D36" s="126"/>
      <c r="E36" s="32">
        <f>_xlfn.XLOOKUP(tblPosiciones[[#This Row],[Deportista]],tblPlanilla[Deportista],tblPlanilla[TOTAL])</f>
        <v>44.240740740740748</v>
      </c>
      <c r="F36" s="33">
        <v>29</v>
      </c>
      <c r="H36" s="134"/>
    </row>
    <row r="37" spans="1:8" x14ac:dyDescent="0.3">
      <c r="A37" s="30">
        <v>7</v>
      </c>
      <c r="B37" s="31" t="s">
        <v>141</v>
      </c>
      <c r="C37" s="31" t="s">
        <v>122</v>
      </c>
      <c r="D37" s="126"/>
      <c r="E37" s="32">
        <f>_xlfn.XLOOKUP(tblPosiciones[[#This Row],[Deportista]],tblPlanilla[Deportista],tblPlanilla[TOTAL])</f>
        <v>43.782407407407405</v>
      </c>
      <c r="F37" s="33">
        <v>30</v>
      </c>
      <c r="H37" s="134"/>
    </row>
    <row r="38" spans="1:8" x14ac:dyDescent="0.3">
      <c r="A38" s="30">
        <v>29</v>
      </c>
      <c r="B38" s="31" t="s">
        <v>159</v>
      </c>
      <c r="C38" s="31" t="s">
        <v>122</v>
      </c>
      <c r="D38" s="126"/>
      <c r="E38" s="32">
        <f>_xlfn.XLOOKUP(tblPosiciones[[#This Row],[Deportista]],tblPlanilla[Deportista],tblPlanilla[TOTAL])</f>
        <v>43.703703703703702</v>
      </c>
      <c r="F38" s="33">
        <v>31</v>
      </c>
      <c r="H38" s="134"/>
    </row>
    <row r="39" spans="1:8" x14ac:dyDescent="0.3">
      <c r="A39" s="30">
        <v>23</v>
      </c>
      <c r="B39" s="31" t="s">
        <v>125</v>
      </c>
      <c r="C39" s="31" t="s">
        <v>114</v>
      </c>
      <c r="D39" s="126"/>
      <c r="E39" s="32">
        <f>_xlfn.XLOOKUP(tblPosiciones[[#This Row],[Deportista]],tblPlanilla[Deportista],tblPlanilla[TOTAL])</f>
        <v>42.078703703703709</v>
      </c>
      <c r="F39" s="33">
        <v>32</v>
      </c>
      <c r="H39" s="134"/>
    </row>
    <row r="40" spans="1:8" x14ac:dyDescent="0.3">
      <c r="A40" s="30">
        <v>5</v>
      </c>
      <c r="B40" s="31" t="s">
        <v>139</v>
      </c>
      <c r="C40" s="31" t="s">
        <v>114</v>
      </c>
      <c r="D40" s="126"/>
      <c r="E40" s="32">
        <f>_xlfn.XLOOKUP(tblPosiciones[[#This Row],[Deportista]],tblPlanilla[Deportista],tblPlanilla[TOTAL])</f>
        <v>39.893518518518519</v>
      </c>
      <c r="F40" s="33">
        <v>33</v>
      </c>
      <c r="H40" s="134"/>
    </row>
    <row r="41" spans="1:8" x14ac:dyDescent="0.3">
      <c r="A41" s="30">
        <v>32</v>
      </c>
      <c r="B41" s="31" t="s">
        <v>136</v>
      </c>
      <c r="C41" s="31" t="s">
        <v>121</v>
      </c>
      <c r="D41" s="126"/>
      <c r="E41" s="32">
        <f>_xlfn.XLOOKUP(tblPosiciones[[#This Row],[Deportista]],tblPlanilla[Deportista],tblPlanilla[TOTAL])</f>
        <v>39.856481481481481</v>
      </c>
      <c r="F41" s="33">
        <v>34</v>
      </c>
      <c r="H41" s="134"/>
    </row>
    <row r="42" spans="1:8" x14ac:dyDescent="0.3">
      <c r="A42" s="30">
        <v>42</v>
      </c>
      <c r="B42" s="31" t="s">
        <v>131</v>
      </c>
      <c r="C42" s="31" t="s">
        <v>122</v>
      </c>
      <c r="D42" s="126"/>
      <c r="E42" s="32">
        <f>_xlfn.XLOOKUP(tblPosiciones[[#This Row],[Deportista]],tblPlanilla[Deportista],tblPlanilla[TOTAL])</f>
        <v>39.699074074074069</v>
      </c>
      <c r="F42" s="33">
        <v>35</v>
      </c>
      <c r="H42" s="134"/>
    </row>
    <row r="43" spans="1:8" x14ac:dyDescent="0.3">
      <c r="A43" s="30">
        <v>13</v>
      </c>
      <c r="B43" s="31" t="s">
        <v>147</v>
      </c>
      <c r="C43" s="31" t="s">
        <v>114</v>
      </c>
      <c r="D43" s="126"/>
      <c r="E43" s="32">
        <f>_xlfn.XLOOKUP(tblPosiciones[[#This Row],[Deportista]],tblPlanilla[Deportista],tblPlanilla[TOTAL])</f>
        <v>39.351851851851855</v>
      </c>
      <c r="F43" s="33">
        <v>36</v>
      </c>
      <c r="H43" s="134"/>
    </row>
    <row r="44" spans="1:8" x14ac:dyDescent="0.3">
      <c r="A44" s="30">
        <v>39</v>
      </c>
      <c r="B44" s="31" t="s">
        <v>167</v>
      </c>
      <c r="C44" s="31" t="s">
        <v>114</v>
      </c>
      <c r="D44" s="126"/>
      <c r="E44" s="32">
        <f>_xlfn.XLOOKUP(tblPosiciones[[#This Row],[Deportista]],tblPlanilla[Deportista],tblPlanilla[TOTAL])</f>
        <v>38.268518518518519</v>
      </c>
      <c r="F44" s="33">
        <v>37</v>
      </c>
      <c r="H44" s="134"/>
    </row>
    <row r="45" spans="1:8" x14ac:dyDescent="0.3">
      <c r="A45" s="30">
        <v>40</v>
      </c>
      <c r="B45" s="31" t="s">
        <v>168</v>
      </c>
      <c r="C45" s="31" t="s">
        <v>122</v>
      </c>
      <c r="D45" s="126"/>
      <c r="E45" s="32">
        <f>_xlfn.XLOOKUP(tblPosiciones[[#This Row],[Deportista]],tblPlanilla[Deportista],tblPlanilla[TOTAL])</f>
        <v>37.069444444444443</v>
      </c>
      <c r="F45" s="33">
        <v>38</v>
      </c>
      <c r="H45" s="134"/>
    </row>
    <row r="46" spans="1:8" x14ac:dyDescent="0.3">
      <c r="A46" s="30">
        <v>43</v>
      </c>
      <c r="B46" s="31" t="s">
        <v>170</v>
      </c>
      <c r="C46" s="31" t="s">
        <v>121</v>
      </c>
      <c r="D46" s="126"/>
      <c r="E46" s="32">
        <f>_xlfn.XLOOKUP(tblPosiciones[[#This Row],[Deportista]],tblPlanilla[Deportista],tblPlanilla[TOTAL])</f>
        <v>36.611111111111114</v>
      </c>
      <c r="F46" s="33">
        <v>39</v>
      </c>
      <c r="H46" s="134"/>
    </row>
    <row r="47" spans="1:8" x14ac:dyDescent="0.3">
      <c r="A47" s="30">
        <v>3</v>
      </c>
      <c r="B47" s="31" t="s">
        <v>137</v>
      </c>
      <c r="C47" s="31" t="s">
        <v>121</v>
      </c>
      <c r="D47" s="126"/>
      <c r="E47" s="32">
        <f>_xlfn.XLOOKUP(tblPosiciones[[#This Row],[Deportista]],tblPlanilla[Deportista],tblPlanilla[TOTAL])</f>
        <v>36.273148148148152</v>
      </c>
      <c r="F47" s="33">
        <v>40</v>
      </c>
      <c r="H47" s="134"/>
    </row>
    <row r="48" spans="1:8" x14ac:dyDescent="0.3">
      <c r="A48" s="30">
        <v>38</v>
      </c>
      <c r="B48" s="31" t="s">
        <v>166</v>
      </c>
      <c r="C48" s="31" t="s">
        <v>121</v>
      </c>
      <c r="D48" s="126"/>
      <c r="E48" s="32">
        <f>_xlfn.XLOOKUP(tblPosiciones[[#This Row],[Deportista]],tblPlanilla[Deportista],tblPlanilla[TOTAL])</f>
        <v>35.25925925925926</v>
      </c>
      <c r="F48" s="33">
        <v>41</v>
      </c>
    </row>
    <row r="49" spans="1:6" x14ac:dyDescent="0.3">
      <c r="A49" s="30">
        <v>1</v>
      </c>
      <c r="B49" s="31" t="s">
        <v>128</v>
      </c>
      <c r="C49" s="31" t="s">
        <v>122</v>
      </c>
      <c r="D49" s="126"/>
      <c r="E49" s="32">
        <f>_xlfn.XLOOKUP(tblPosiciones[[#This Row],[Deportista]],tblPlanilla[Deportista],tblPlanilla[TOTAL])</f>
        <v>24.532407407407408</v>
      </c>
      <c r="F49" s="33">
        <v>42</v>
      </c>
    </row>
    <row r="50" spans="1:6" x14ac:dyDescent="0.3">
      <c r="A50" s="30">
        <v>4</v>
      </c>
      <c r="B50" s="31" t="s">
        <v>138</v>
      </c>
      <c r="C50" s="31" t="s">
        <v>122</v>
      </c>
      <c r="D50" s="126"/>
      <c r="E50" s="32">
        <f>_xlfn.XLOOKUP(tblPosiciones[[#This Row],[Deportista]],tblPlanilla[Deportista],tblPlanilla[TOTAL])</f>
        <v>19.199074074074076</v>
      </c>
      <c r="F50" s="33">
        <v>43</v>
      </c>
    </row>
    <row r="51" spans="1:6" x14ac:dyDescent="0.3">
      <c r="A51" s="30">
        <v>20</v>
      </c>
      <c r="B51" s="31" t="s">
        <v>135</v>
      </c>
      <c r="C51" s="31" t="s">
        <v>122</v>
      </c>
      <c r="D51" s="126"/>
      <c r="E51" s="32">
        <f>_xlfn.XLOOKUP(tblPosiciones[[#This Row],[Deportista]],tblPlanilla[Deportista],tblPlanilla[TOTAL])</f>
        <v>14.305555555555555</v>
      </c>
      <c r="F51" s="33">
        <v>44</v>
      </c>
    </row>
    <row r="52" spans="1:6" x14ac:dyDescent="0.3">
      <c r="A52" s="30">
        <v>36</v>
      </c>
      <c r="B52" s="31" t="s">
        <v>164</v>
      </c>
      <c r="C52" s="31" t="s">
        <v>122</v>
      </c>
      <c r="D52" s="126"/>
      <c r="E52" s="32">
        <f>_xlfn.XLOOKUP(tblPosiciones[[#This Row],[Deportista]],tblPlanilla[Deportista],tblPlanilla[TOTAL])</f>
        <v>5.5555555555555554</v>
      </c>
      <c r="F52" s="33">
        <v>45</v>
      </c>
    </row>
    <row r="53" spans="1:6" x14ac:dyDescent="0.3">
      <c r="A53" s="229">
        <v>2</v>
      </c>
      <c r="B53" s="230" t="s">
        <v>132</v>
      </c>
      <c r="C53" s="230" t="s">
        <v>124</v>
      </c>
      <c r="D53" s="231"/>
      <c r="E53" s="232">
        <f>_xlfn.XLOOKUP(tblPosiciones[[#This Row],[Deportista]],tblPlanilla[Deportista],tblPlanilla[TOTAL])</f>
        <v>0</v>
      </c>
      <c r="F53" s="33">
        <v>46</v>
      </c>
    </row>
    <row r="54" spans="1:6" x14ac:dyDescent="0.3">
      <c r="A54" s="229">
        <v>12</v>
      </c>
      <c r="B54" s="230" t="s">
        <v>146</v>
      </c>
      <c r="C54" s="230" t="s">
        <v>122</v>
      </c>
      <c r="D54" s="231"/>
      <c r="E54" s="232">
        <f>_xlfn.XLOOKUP(tblPosiciones[[#This Row],[Deportista]],tblPlanilla[Deportista],tblPlanilla[TOTAL])</f>
        <v>0</v>
      </c>
      <c r="F54" s="33">
        <v>47</v>
      </c>
    </row>
  </sheetData>
  <dataConsolidate/>
  <mergeCells count="5">
    <mergeCell ref="A1:D1"/>
    <mergeCell ref="A2:D2"/>
    <mergeCell ref="A3:D3"/>
    <mergeCell ref="A4:D4"/>
    <mergeCell ref="A6:F6"/>
  </mergeCells>
  <printOptions horizontalCentered="1"/>
  <pageMargins left="0.15748031496062992" right="0.15748031496062992" top="0.39370078740157483" bottom="0.6692913385826772" header="0.31496062992125984" footer="0.31496062992125984"/>
  <pageSetup scale="88" orientation="portrait" errors="NA" r:id="rId1"/>
  <headerFooter>
    <oddFooter>&amp;L[&amp;A]&amp;RPágina &amp;P de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1596D2-981A-4F77-875F-0CEB2B8EE5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36</vt:i4>
      </vt:variant>
    </vt:vector>
  </HeadingPairs>
  <TitlesOfParts>
    <vt:vector size="41" baseType="lpstr">
      <vt:lpstr>Datos</vt:lpstr>
      <vt:lpstr>Registro</vt:lpstr>
      <vt:lpstr>Parametros Iniciales</vt:lpstr>
      <vt:lpstr>Planilla</vt:lpstr>
      <vt:lpstr>PuntajesFinales</vt:lpstr>
      <vt:lpstr>CantJueces</vt:lpstr>
      <vt:lpstr>Grupo_escogido</vt:lpstr>
      <vt:lpstr>HeadLin1</vt:lpstr>
      <vt:lpstr>HeadLin2</vt:lpstr>
      <vt:lpstr>HeadLin3</vt:lpstr>
      <vt:lpstr>HeadLin4</vt:lpstr>
      <vt:lpstr>IniTotales</vt:lpstr>
      <vt:lpstr>JuecesCalc</vt:lpstr>
      <vt:lpstr>JuecesDisponibles</vt:lpstr>
      <vt:lpstr>JuecesPanel</vt:lpstr>
      <vt:lpstr>JuecesPanel1</vt:lpstr>
      <vt:lpstr>JuecesPanel2</vt:lpstr>
      <vt:lpstr>Nombres</vt:lpstr>
      <vt:lpstr>Obligatoria1Cod</vt:lpstr>
      <vt:lpstr>Obligatoria1GD</vt:lpstr>
      <vt:lpstr>Obligatoria1Nom</vt:lpstr>
      <vt:lpstr>Obligatoria2Cod</vt:lpstr>
      <vt:lpstr>Obligatoria2GD</vt:lpstr>
      <vt:lpstr>Obligatoria2Nom</vt:lpstr>
      <vt:lpstr>ObligatoriaTipo1</vt:lpstr>
      <vt:lpstr>ObligatoriaTipo2</vt:lpstr>
      <vt:lpstr>Opcional1Cod</vt:lpstr>
      <vt:lpstr>Opcional1GD</vt:lpstr>
      <vt:lpstr>Opcional1Nom</vt:lpstr>
      <vt:lpstr>Opcional2Cod</vt:lpstr>
      <vt:lpstr>Opcional2GD</vt:lpstr>
      <vt:lpstr>Opcional2Nom</vt:lpstr>
      <vt:lpstr>OpcionalTipo1</vt:lpstr>
      <vt:lpstr>OpcionalTipo2</vt:lpstr>
      <vt:lpstr>OrdenSalida</vt:lpstr>
      <vt:lpstr>RegistroImpar</vt:lpstr>
      <vt:lpstr>RegistroNoCompite</vt:lpstr>
      <vt:lpstr>RegistroPar</vt:lpstr>
      <vt:lpstr>TituloCategoria</vt:lpstr>
      <vt:lpstr>Planilla!Títulos_a_imprimir</vt:lpstr>
      <vt:lpstr>TotalGD</vt:lpstr>
    </vt:vector>
  </TitlesOfParts>
  <Company>Indra Colombia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hmpercy</dc:creator>
  <cp:lastModifiedBy>Hugo M. Percy G.</cp:lastModifiedBy>
  <cp:lastPrinted>2022-04-23T14:29:48Z</cp:lastPrinted>
  <dcterms:created xsi:type="dcterms:W3CDTF">2011-09-09T15:52:10Z</dcterms:created>
  <dcterms:modified xsi:type="dcterms:W3CDTF">2022-04-23T14:29:59Z</dcterms:modified>
</cp:coreProperties>
</file>