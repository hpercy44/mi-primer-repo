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ADO\NADO_2022\Chequeo_Abr_23_2022\"/>
    </mc:Choice>
  </mc:AlternateContent>
  <xr:revisionPtr revIDLastSave="0" documentId="13_ncr:1_{D90260E3-AD70-4AB4-9972-135ABF3ECD98}" xr6:coauthVersionLast="47" xr6:coauthVersionMax="47" xr10:uidLastSave="{00000000-0000-0000-0000-000000000000}"/>
  <bookViews>
    <workbookView xWindow="-108" yWindow="-108" windowWidth="23256" windowHeight="12720" tabRatio="584" firstSheet="2" activeTab="3" xr2:uid="{00000000-000D-0000-FFFF-FFFF00000000}"/>
  </bookViews>
  <sheets>
    <sheet name="Datos" sheetId="145" state="hidden" r:id="rId1"/>
    <sheet name="Registro" sheetId="9" state="hidden" r:id="rId2"/>
    <sheet name="Parametros Iniciales" sheetId="1" r:id="rId3"/>
    <sheet name="Planilla" sheetId="249" r:id="rId4"/>
    <sheet name="PuntajesFinales" sheetId="230" r:id="rId5"/>
  </sheets>
  <functionGroups builtInGroupCount="19"/>
  <definedNames>
    <definedName name="_xlnm._FilterDatabase" localSheetId="3" hidden="1">Planilla!$A$7:$A$53</definedName>
    <definedName name="CantJueces">'Parametros Iniciales'!$K$14</definedName>
    <definedName name="Grupo_escogido">Datos!$N$7</definedName>
    <definedName name="HeadLin1">Datos!$A$4</definedName>
    <definedName name="HeadLin2">Datos!$A$5</definedName>
    <definedName name="HeadLin3">Datos!$A$6</definedName>
    <definedName name="HeadLin4">Datos!$A$7</definedName>
    <definedName name="IniTotales">Planilla!$S$7</definedName>
    <definedName name="JuecesCalc">'Parametros Iniciales'!$J$15</definedName>
    <definedName name="JuecesDisponibles">Datos!$G$10</definedName>
    <definedName name="JuecesPanel">'Parametros Iniciales'!$J$14</definedName>
    <definedName name="JuecesPanel1">'Parametros Iniciales'!$I$18:$I$24</definedName>
    <definedName name="JuecesPanel2">'Parametros Iniciales'!$I$27:$I$33</definedName>
    <definedName name="Nombres">'Parametros Iniciales'!$C$6</definedName>
    <definedName name="Obligatoria1Cod">Datos!$R$10</definedName>
    <definedName name="Obligatoria1GD">Datos!$S$10</definedName>
    <definedName name="Obligatoria1Nom">Datos!$Q$10</definedName>
    <definedName name="Obligatoria2Cod">Datos!$R$11</definedName>
    <definedName name="Obligatoria2GD">Datos!$S$11</definedName>
    <definedName name="Obligatoria2Nom">Datos!$Q$11</definedName>
    <definedName name="ObligatoriaTipo1">Datos!$P$10</definedName>
    <definedName name="ObligatoriaTipo2">Datos!$P$11</definedName>
    <definedName name="Opcional1Cod">Datos!$R$12</definedName>
    <definedName name="Opcional1GD">Datos!$S$12</definedName>
    <definedName name="Opcional1Nom">Datos!$Q$12</definedName>
    <definedName name="Opcional2Cod">Datos!$R$13</definedName>
    <definedName name="Opcional2GD">Datos!$S$13</definedName>
    <definedName name="Opcional2Nom">Datos!$Q$13</definedName>
    <definedName name="OpcionalTipo1">Datos!$P$12</definedName>
    <definedName name="OpcionalTipo2">Datos!$P$13</definedName>
    <definedName name="OrdenSalida">'Parametros Iniciales'!$B$6</definedName>
    <definedName name="RegistroImpar" comment="Formato para los registros pares.">Registro!$B$10:$S$12</definedName>
    <definedName name="RegistroNoCompite" comment="Formato para los registros de  quienes no compiten">Registro!$B$15:$S$17</definedName>
    <definedName name="RegistroPar" comment="Formato para los registros impares">Registro!$B$5:$S$7</definedName>
    <definedName name="TituloCategoria">Datos!$A$1</definedName>
    <definedName name="_xlnm.Print_Titles" localSheetId="3">Planilla!$1:$7</definedName>
    <definedName name="TotalGD">'Parametros Iniciales'!$N$7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2" i="249" l="1"/>
  <c r="A23" i="249"/>
  <c r="A24" i="249"/>
  <c r="A25" i="249"/>
  <c r="A26" i="249"/>
  <c r="A27" i="249"/>
  <c r="A28" i="249"/>
  <c r="A29" i="249"/>
  <c r="A30" i="249"/>
  <c r="A31" i="249"/>
  <c r="A32" i="249"/>
  <c r="A33" i="249"/>
  <c r="A34" i="249"/>
  <c r="A35" i="249"/>
  <c r="A36" i="249"/>
  <c r="A37" i="249"/>
  <c r="A38" i="249"/>
  <c r="A39" i="249"/>
  <c r="A40" i="249"/>
  <c r="A41" i="249"/>
  <c r="A42" i="249"/>
  <c r="A43" i="249"/>
  <c r="A44" i="249"/>
  <c r="A45" i="249"/>
  <c r="A46" i="249"/>
  <c r="A47" i="249"/>
  <c r="A48" i="249"/>
  <c r="A49" i="249"/>
  <c r="A50" i="249"/>
  <c r="A51" i="249"/>
  <c r="A52" i="249"/>
  <c r="A53" i="249"/>
  <c r="A10" i="249"/>
  <c r="A11" i="249"/>
  <c r="A12" i="249"/>
  <c r="A13" i="249"/>
  <c r="A14" i="249"/>
  <c r="A15" i="249"/>
  <c r="A16" i="249"/>
  <c r="A17" i="249"/>
  <c r="A18" i="249"/>
  <c r="A19" i="249"/>
  <c r="A20" i="249"/>
  <c r="A21" i="249"/>
  <c r="A9" i="249"/>
  <c r="A8" i="249"/>
  <c r="E30" i="230"/>
  <c r="E29" i="230"/>
  <c r="E28" i="230"/>
  <c r="L53" i="249"/>
  <c r="K53" i="249"/>
  <c r="E53" i="249"/>
  <c r="L52" i="249"/>
  <c r="K52" i="249"/>
  <c r="J52" i="249"/>
  <c r="E52" i="249"/>
  <c r="L51" i="249"/>
  <c r="K51" i="249"/>
  <c r="J51" i="249"/>
  <c r="E51" i="249"/>
  <c r="L50" i="249"/>
  <c r="K50" i="249"/>
  <c r="E50" i="249"/>
  <c r="L49" i="249"/>
  <c r="K49" i="249"/>
  <c r="E49" i="249"/>
  <c r="L48" i="249"/>
  <c r="K48" i="249"/>
  <c r="E48" i="249"/>
  <c r="L47" i="249"/>
  <c r="K47" i="249"/>
  <c r="E47" i="249"/>
  <c r="L46" i="249"/>
  <c r="K46" i="249"/>
  <c r="E46" i="249"/>
  <c r="L45" i="249"/>
  <c r="K45" i="249"/>
  <c r="E45" i="249"/>
  <c r="L44" i="249"/>
  <c r="K44" i="249"/>
  <c r="E44" i="249"/>
  <c r="L43" i="249"/>
  <c r="K43" i="249"/>
  <c r="E43" i="249"/>
  <c r="L42" i="249"/>
  <c r="K42" i="249"/>
  <c r="E42" i="249"/>
  <c r="L41" i="249"/>
  <c r="K41" i="249"/>
  <c r="J41" i="249"/>
  <c r="E41" i="249"/>
  <c r="L40" i="249"/>
  <c r="K40" i="249"/>
  <c r="E40" i="249"/>
  <c r="L39" i="249"/>
  <c r="K39" i="249"/>
  <c r="J39" i="249"/>
  <c r="E39" i="249"/>
  <c r="L38" i="249"/>
  <c r="K38" i="249"/>
  <c r="E38" i="249"/>
  <c r="L37" i="249"/>
  <c r="K37" i="249"/>
  <c r="E37" i="249"/>
  <c r="L36" i="249"/>
  <c r="K36" i="249"/>
  <c r="E36" i="249"/>
  <c r="P35" i="249"/>
  <c r="O35" i="249"/>
  <c r="N35" i="249"/>
  <c r="M35" i="249"/>
  <c r="R34" i="249"/>
  <c r="P34" i="249"/>
  <c r="O34" i="249"/>
  <c r="N34" i="249"/>
  <c r="M34" i="249"/>
  <c r="L33" i="249"/>
  <c r="K33" i="249"/>
  <c r="E33" i="249"/>
  <c r="L32" i="249"/>
  <c r="K32" i="249"/>
  <c r="E32" i="249"/>
  <c r="L31" i="249"/>
  <c r="K31" i="249"/>
  <c r="E31" i="249"/>
  <c r="L30" i="249"/>
  <c r="K30" i="249"/>
  <c r="J30" i="249"/>
  <c r="E30" i="249"/>
  <c r="L29" i="249"/>
  <c r="K29" i="249"/>
  <c r="E29" i="249"/>
  <c r="L28" i="249"/>
  <c r="K28" i="249"/>
  <c r="E28" i="249"/>
  <c r="L27" i="249"/>
  <c r="K27" i="249"/>
  <c r="E27" i="249"/>
  <c r="L26" i="249"/>
  <c r="K26" i="249"/>
  <c r="E26" i="249"/>
  <c r="L25" i="249"/>
  <c r="K25" i="249"/>
  <c r="J25" i="249"/>
  <c r="E25" i="249"/>
  <c r="L24" i="249"/>
  <c r="K24" i="249"/>
  <c r="E24" i="249"/>
  <c r="L23" i="249"/>
  <c r="K23" i="249"/>
  <c r="J23" i="249"/>
  <c r="E23" i="249"/>
  <c r="L22" i="249"/>
  <c r="K22" i="249"/>
  <c r="E22" i="249"/>
  <c r="P21" i="249"/>
  <c r="O21" i="249"/>
  <c r="N21" i="249"/>
  <c r="M21" i="249"/>
  <c r="R20" i="249"/>
  <c r="P20" i="249"/>
  <c r="O20" i="249"/>
  <c r="N20" i="249"/>
  <c r="M20" i="249"/>
  <c r="L19" i="249"/>
  <c r="K19" i="249"/>
  <c r="J19" i="249"/>
  <c r="N19" i="249" s="1"/>
  <c r="E19" i="249"/>
  <c r="L18" i="249"/>
  <c r="K18" i="249"/>
  <c r="E18" i="249"/>
  <c r="L17" i="249"/>
  <c r="K17" i="249"/>
  <c r="E17" i="249"/>
  <c r="L16" i="249"/>
  <c r="K16" i="249"/>
  <c r="E16" i="249"/>
  <c r="P15" i="249"/>
  <c r="O15" i="249"/>
  <c r="N15" i="249"/>
  <c r="M15" i="249"/>
  <c r="R14" i="249"/>
  <c r="P14" i="249"/>
  <c r="O14" i="249"/>
  <c r="N14" i="249"/>
  <c r="M14" i="249"/>
  <c r="L13" i="249"/>
  <c r="K13" i="249"/>
  <c r="E13" i="249"/>
  <c r="L12" i="249"/>
  <c r="K12" i="249"/>
  <c r="E12" i="249"/>
  <c r="L11" i="249"/>
  <c r="K11" i="249"/>
  <c r="E11" i="249"/>
  <c r="L10" i="249"/>
  <c r="K10" i="249"/>
  <c r="E10" i="249"/>
  <c r="L9" i="249"/>
  <c r="K9" i="249"/>
  <c r="E9" i="249"/>
  <c r="L8" i="249"/>
  <c r="K8" i="249"/>
  <c r="E8" i="249"/>
  <c r="P12" i="145" a="1"/>
  <c r="P12" i="145" s="1"/>
  <c r="E25" i="145"/>
  <c r="E12" i="145"/>
  <c r="B2" i="1"/>
  <c r="B5" i="1"/>
  <c r="P10" i="145" a="1"/>
  <c r="P10" i="145" s="1"/>
  <c r="A6" i="145"/>
  <c r="P8" i="145"/>
  <c r="M51" i="249" l="1"/>
  <c r="J49" i="249"/>
  <c r="J47" i="249"/>
  <c r="J45" i="249"/>
  <c r="M45" i="249" s="1"/>
  <c r="J43" i="249"/>
  <c r="M43" i="249" s="1"/>
  <c r="J33" i="249"/>
  <c r="N33" i="249" s="1"/>
  <c r="J31" i="249"/>
  <c r="N31" i="249" s="1"/>
  <c r="J29" i="249"/>
  <c r="M29" i="249" s="1"/>
  <c r="J27" i="249"/>
  <c r="M27" i="249" s="1"/>
  <c r="M23" i="249"/>
  <c r="J17" i="249"/>
  <c r="N17" i="249" s="1"/>
  <c r="J13" i="249"/>
  <c r="N13" i="249" s="1"/>
  <c r="J50" i="249"/>
  <c r="M50" i="249" s="1"/>
  <c r="N30" i="249"/>
  <c r="J26" i="249"/>
  <c r="M26" i="249" s="1"/>
  <c r="J18" i="249"/>
  <c r="N18" i="249" s="1"/>
  <c r="M52" i="249"/>
  <c r="N52" i="249"/>
  <c r="J53" i="249"/>
  <c r="N51" i="249"/>
  <c r="J48" i="249"/>
  <c r="N48" i="249" s="1"/>
  <c r="M47" i="249"/>
  <c r="J46" i="249"/>
  <c r="N47" i="249"/>
  <c r="J44" i="249"/>
  <c r="M44" i="249" s="1"/>
  <c r="J42" i="249"/>
  <c r="M41" i="249"/>
  <c r="J40" i="249"/>
  <c r="N41" i="249"/>
  <c r="O41" i="249"/>
  <c r="P41" i="249" s="1"/>
  <c r="M39" i="249"/>
  <c r="O39" i="249" s="1"/>
  <c r="P39" i="249" s="1"/>
  <c r="J38" i="249"/>
  <c r="N39" i="249"/>
  <c r="J37" i="249"/>
  <c r="M37" i="249" s="1"/>
  <c r="J36" i="249"/>
  <c r="M36" i="249" s="1"/>
  <c r="J32" i="249"/>
  <c r="M30" i="249"/>
  <c r="J28" i="249"/>
  <c r="M25" i="249"/>
  <c r="O25" i="249" s="1"/>
  <c r="P25" i="249" s="1"/>
  <c r="J24" i="249"/>
  <c r="N25" i="249"/>
  <c r="J22" i="249"/>
  <c r="N23" i="249"/>
  <c r="O23" i="249" s="1"/>
  <c r="P23" i="249" s="1"/>
  <c r="M19" i="249"/>
  <c r="O19" i="249" s="1"/>
  <c r="P19" i="249" s="1"/>
  <c r="M17" i="249"/>
  <c r="J16" i="249"/>
  <c r="N16" i="249" s="1"/>
  <c r="J12" i="249"/>
  <c r="J11" i="249"/>
  <c r="J10" i="249"/>
  <c r="N10" i="249" s="1"/>
  <c r="J9" i="249"/>
  <c r="J8" i="249"/>
  <c r="B3" i="1"/>
  <c r="A2" i="230"/>
  <c r="I8" i="1"/>
  <c r="L8" i="1"/>
  <c r="M8" i="1"/>
  <c r="L7" i="1"/>
  <c r="M7" i="1"/>
  <c r="I7" i="1"/>
  <c r="E11" i="145"/>
  <c r="E13" i="145"/>
  <c r="E14" i="145"/>
  <c r="E15" i="145"/>
  <c r="E16" i="145"/>
  <c r="E17" i="145"/>
  <c r="E18" i="145"/>
  <c r="E19" i="145"/>
  <c r="E20" i="145"/>
  <c r="E21" i="145"/>
  <c r="E22" i="145"/>
  <c r="E23" i="145"/>
  <c r="E24" i="145"/>
  <c r="E10" i="145"/>
  <c r="A4" i="230"/>
  <c r="A3" i="230"/>
  <c r="A1" i="230"/>
  <c r="B4" i="249"/>
  <c r="B3" i="249"/>
  <c r="B1" i="249"/>
  <c r="K14" i="1"/>
  <c r="I6" i="9"/>
  <c r="H6" i="9"/>
  <c r="I5" i="9"/>
  <c r="H5" i="9"/>
  <c r="I11" i="9"/>
  <c r="H11" i="9"/>
  <c r="I10" i="9"/>
  <c r="H10" i="9"/>
  <c r="O51" i="249" l="1"/>
  <c r="P51" i="249" s="1"/>
  <c r="N43" i="249"/>
  <c r="O47" i="249"/>
  <c r="P47" i="249" s="1"/>
  <c r="O52" i="249"/>
  <c r="P52" i="249" s="1"/>
  <c r="M49" i="249"/>
  <c r="N49" i="249"/>
  <c r="N45" i="249"/>
  <c r="O45" i="249" s="1"/>
  <c r="P45" i="249" s="1"/>
  <c r="O43" i="249"/>
  <c r="P43" i="249" s="1"/>
  <c r="M33" i="249"/>
  <c r="O33" i="249" s="1"/>
  <c r="P33" i="249" s="1"/>
  <c r="M31" i="249"/>
  <c r="O31" i="249" s="1"/>
  <c r="P31" i="249" s="1"/>
  <c r="N29" i="249"/>
  <c r="O29" i="249" s="1"/>
  <c r="P29" i="249" s="1"/>
  <c r="N27" i="249"/>
  <c r="O27" i="249" s="1"/>
  <c r="P27" i="249" s="1"/>
  <c r="O17" i="249"/>
  <c r="P17" i="249" s="1"/>
  <c r="M13" i="249"/>
  <c r="O13" i="249" s="1"/>
  <c r="P13" i="249" s="1"/>
  <c r="N50" i="249"/>
  <c r="O50" i="249" s="1"/>
  <c r="P50" i="249" s="1"/>
  <c r="R50" i="249" s="1"/>
  <c r="S50" i="249" s="1"/>
  <c r="E21" i="230" s="1"/>
  <c r="O30" i="249"/>
  <c r="P30" i="249" s="1"/>
  <c r="N26" i="249"/>
  <c r="O26" i="249" s="1"/>
  <c r="P26" i="249" s="1"/>
  <c r="M18" i="249"/>
  <c r="O18" i="249" s="1"/>
  <c r="P18" i="249" s="1"/>
  <c r="R18" i="249" s="1"/>
  <c r="S18" i="249" s="1"/>
  <c r="E17" i="230" s="1"/>
  <c r="M10" i="249"/>
  <c r="O10" i="249" s="1"/>
  <c r="P10" i="249" s="1"/>
  <c r="N53" i="249"/>
  <c r="M53" i="249"/>
  <c r="M48" i="249"/>
  <c r="O48" i="249" s="1"/>
  <c r="P48" i="249" s="1"/>
  <c r="N46" i="249"/>
  <c r="M46" i="249"/>
  <c r="O46" i="249" s="1"/>
  <c r="P46" i="249" s="1"/>
  <c r="R46" i="249" s="1"/>
  <c r="S46" i="249" s="1"/>
  <c r="E20" i="230" s="1"/>
  <c r="N44" i="249"/>
  <c r="O44" i="249" s="1"/>
  <c r="P44" i="249" s="1"/>
  <c r="N42" i="249"/>
  <c r="M42" i="249"/>
  <c r="N40" i="249"/>
  <c r="M40" i="249"/>
  <c r="N38" i="249"/>
  <c r="M38" i="249"/>
  <c r="O38" i="249" s="1"/>
  <c r="P38" i="249" s="1"/>
  <c r="R38" i="249" s="1"/>
  <c r="S38" i="249" s="1"/>
  <c r="E14" i="230" s="1"/>
  <c r="N36" i="249"/>
  <c r="O36" i="249" s="1"/>
  <c r="P36" i="249" s="1"/>
  <c r="N37" i="249"/>
  <c r="O37" i="249" s="1"/>
  <c r="P37" i="249" s="1"/>
  <c r="N32" i="249"/>
  <c r="M32" i="249"/>
  <c r="M28" i="249"/>
  <c r="N28" i="249"/>
  <c r="M24" i="249"/>
  <c r="N24" i="249"/>
  <c r="M22" i="249"/>
  <c r="N22" i="249"/>
  <c r="M16" i="249"/>
  <c r="O16" i="249" s="1"/>
  <c r="P16" i="249" s="1"/>
  <c r="R16" i="249" s="1"/>
  <c r="S16" i="249" s="1"/>
  <c r="E11" i="230" s="1"/>
  <c r="N12" i="249"/>
  <c r="M12" i="249"/>
  <c r="N11" i="249"/>
  <c r="M11" i="249"/>
  <c r="M9" i="249"/>
  <c r="N8" i="249"/>
  <c r="M8" i="249"/>
  <c r="N9" i="249"/>
  <c r="B2" i="249"/>
  <c r="E6" i="9"/>
  <c r="E10" i="9"/>
  <c r="E5" i="9"/>
  <c r="E11" i="9"/>
  <c r="G10" i="145" a="1"/>
  <c r="G10" i="145" s="1"/>
  <c r="J10" i="9"/>
  <c r="K10" i="9" s="1"/>
  <c r="J5" i="9"/>
  <c r="K5" i="9" s="1"/>
  <c r="J11" i="9"/>
  <c r="J6" i="9"/>
  <c r="L10" i="9"/>
  <c r="O40" i="249" l="1"/>
  <c r="P40" i="249" s="1"/>
  <c r="R40" i="249" s="1"/>
  <c r="S40" i="249" s="1"/>
  <c r="E9" i="230" s="1"/>
  <c r="O9" i="249"/>
  <c r="P9" i="249" s="1"/>
  <c r="O28" i="249"/>
  <c r="P28" i="249" s="1"/>
  <c r="R28" i="249" s="1"/>
  <c r="S28" i="249" s="1"/>
  <c r="E26" i="230" s="1"/>
  <c r="O12" i="249"/>
  <c r="P12" i="249" s="1"/>
  <c r="O32" i="249"/>
  <c r="P32" i="249" s="1"/>
  <c r="R32" i="249" s="1"/>
  <c r="S32" i="249" s="1"/>
  <c r="E23" i="230" s="1"/>
  <c r="O22" i="249"/>
  <c r="P22" i="249" s="1"/>
  <c r="R22" i="249" s="1"/>
  <c r="S22" i="249" s="1"/>
  <c r="E19" i="230" s="1"/>
  <c r="O53" i="249"/>
  <c r="P53" i="249" s="1"/>
  <c r="R52" i="249" s="1"/>
  <c r="S52" i="249" s="1"/>
  <c r="E10" i="230" s="1"/>
  <c r="O49" i="249"/>
  <c r="P49" i="249" s="1"/>
  <c r="R48" i="249" s="1"/>
  <c r="S48" i="249" s="1"/>
  <c r="E16" i="230" s="1"/>
  <c r="R44" i="249"/>
  <c r="S44" i="249" s="1"/>
  <c r="E15" i="230" s="1"/>
  <c r="R36" i="249"/>
  <c r="S36" i="249" s="1"/>
  <c r="E18" i="230" s="1"/>
  <c r="R30" i="249"/>
  <c r="S30" i="249" s="1"/>
  <c r="E27" i="230" s="1"/>
  <c r="R26" i="249"/>
  <c r="S26" i="249" s="1"/>
  <c r="E22" i="230" s="1"/>
  <c r="R12" i="249"/>
  <c r="S12" i="249" s="1"/>
  <c r="E8" i="230" s="1"/>
  <c r="O11" i="249"/>
  <c r="P11" i="249" s="1"/>
  <c r="R10" i="249" s="1"/>
  <c r="S10" i="249" s="1"/>
  <c r="E24" i="230" s="1"/>
  <c r="O42" i="249"/>
  <c r="P42" i="249" s="1"/>
  <c r="R42" i="249" s="1"/>
  <c r="S42" i="249" s="1"/>
  <c r="E25" i="230" s="1"/>
  <c r="O24" i="249"/>
  <c r="P24" i="249" s="1"/>
  <c r="R24" i="249" s="1"/>
  <c r="S24" i="249" s="1"/>
  <c r="E13" i="230" s="1"/>
  <c r="O8" i="249"/>
  <c r="P8" i="249" s="1"/>
  <c r="R8" i="249" s="1"/>
  <c r="S8" i="249" s="1"/>
  <c r="E12" i="230" s="1"/>
  <c r="K11" i="9"/>
  <c r="L11" i="9" s="1"/>
  <c r="M11" i="9" s="1"/>
  <c r="K6" i="9"/>
  <c r="L6" i="9" s="1"/>
  <c r="N7" i="1"/>
  <c r="M15" i="9"/>
  <c r="O15" i="9"/>
  <c r="P15" i="9"/>
  <c r="N15" i="9"/>
  <c r="N10" i="9"/>
  <c r="M10" i="9"/>
  <c r="P10" i="9"/>
  <c r="N16" i="9"/>
  <c r="P16" i="9"/>
  <c r="M16" i="9"/>
  <c r="L5" i="9"/>
  <c r="O16" i="9"/>
  <c r="O10" i="9"/>
  <c r="O11" i="9" l="1"/>
  <c r="P11" i="9"/>
  <c r="S5" i="9"/>
  <c r="N11" i="9"/>
  <c r="S10" i="9"/>
  <c r="O6" i="9"/>
  <c r="P6" i="9"/>
  <c r="M6" i="9"/>
  <c r="N6" i="9"/>
  <c r="R15" i="9"/>
  <c r="P5" i="9"/>
  <c r="M5" i="9"/>
  <c r="R5" i="9"/>
  <c r="N5" i="9"/>
  <c r="R10" i="9"/>
  <c r="O5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Hugo M. Percy G.</author>
  </authors>
  <commentList>
    <comment ref="E8" authorId="0" shapeId="0" xr:uid="{1DC2CB02-A029-4B67-BE25-A7672C86AA0E}">
      <text>
        <r>
          <rPr>
            <sz val="10"/>
            <color indexed="81"/>
            <rFont val="Calibri"/>
            <family val="2"/>
          </rPr>
          <t>Fig : Pierna Ballet estirada en el muro_x000D_
 GD : 1.6</t>
        </r>
      </text>
    </comment>
    <comment ref="E9" authorId="0" shapeId="0" xr:uid="{B5887320-BE40-46C9-8779-BF0B98FD4210}">
      <text>
        <r>
          <rPr>
            <sz val="10"/>
            <color indexed="81"/>
            <rFont val="Calibri"/>
            <family val="2"/>
          </rPr>
          <t>Fig : Ascensor_x000D_
 GD : 1.9</t>
        </r>
      </text>
    </comment>
    <comment ref="E10" authorId="0" shapeId="0" xr:uid="{EFAEE8CE-98FB-4BD7-90AE-D0CE1A3AE549}">
      <text>
        <r>
          <rPr>
            <sz val="10"/>
            <color indexed="81"/>
            <rFont val="Calibri"/>
            <family val="2"/>
          </rPr>
          <t>Fig : Pierna Ballet estirada en el muro_x000D_
 GD : 1.6</t>
        </r>
      </text>
    </comment>
    <comment ref="E11" authorId="0" shapeId="0" xr:uid="{9F4CEAC6-1C16-4FD4-B3A0-417D2BEA173D}">
      <text>
        <r>
          <rPr>
            <sz val="10"/>
            <color indexed="81"/>
            <rFont val="Calibri"/>
            <family val="2"/>
          </rPr>
          <t>Fig : Ascensor_x000D_
 GD : 1.9</t>
        </r>
      </text>
    </comment>
    <comment ref="E12" authorId="0" shapeId="0" xr:uid="{73826997-7ECA-4CE1-9A40-936C89FBC2E7}">
      <text>
        <r>
          <rPr>
            <sz val="10"/>
            <color indexed="81"/>
            <rFont val="Calibri"/>
            <family val="2"/>
          </rPr>
          <t>Fig : Pierna Ballet estirada en el muro_x000D_
 GD : 1.6</t>
        </r>
      </text>
    </comment>
    <comment ref="E13" authorId="0" shapeId="0" xr:uid="{C66FABFD-A00F-45CE-93B6-ADAC814B8E87}">
      <text>
        <r>
          <rPr>
            <sz val="10"/>
            <color indexed="81"/>
            <rFont val="Calibri"/>
            <family val="2"/>
          </rPr>
          <t>Fig : Ascensor_x000D_
 GD : 1.9</t>
        </r>
      </text>
    </comment>
    <comment ref="E16" authorId="0" shapeId="0" xr:uid="{58670635-BDBE-4056-93D2-C00A9888B8B9}">
      <text>
        <r>
          <rPr>
            <sz val="10"/>
            <color indexed="81"/>
            <rFont val="Calibri"/>
            <family val="2"/>
          </rPr>
          <t>Fig : Pierna Ballet estirada en el muro_x000D_
 GD : 1.6</t>
        </r>
      </text>
    </comment>
    <comment ref="E17" authorId="0" shapeId="0" xr:uid="{2600196B-CB3B-4393-9FC1-E6F66E30111D}">
      <text>
        <r>
          <rPr>
            <sz val="10"/>
            <color indexed="81"/>
            <rFont val="Calibri"/>
            <family val="2"/>
          </rPr>
          <t>Fig : Ascensor_x000D_
 GD : 1.9</t>
        </r>
      </text>
    </comment>
    <comment ref="E18" authorId="0" shapeId="0" xr:uid="{5ABAE80D-170C-4092-AAC7-397AAA7F0B40}">
      <text>
        <r>
          <rPr>
            <sz val="10"/>
            <color indexed="81"/>
            <rFont val="Calibri"/>
            <family val="2"/>
          </rPr>
          <t>Fig : Pierna Ballet estirada en el muro_x000D_
 GD : 1.6</t>
        </r>
      </text>
    </comment>
    <comment ref="E19" authorId="0" shapeId="0" xr:uid="{7D0A7781-CB99-4AEF-AAD2-4B9088C2487B}">
      <text>
        <r>
          <rPr>
            <sz val="10"/>
            <color indexed="81"/>
            <rFont val="Calibri"/>
            <family val="2"/>
          </rPr>
          <t>Fig : Ascensor_x000D_
 GD : 1.9</t>
        </r>
      </text>
    </comment>
    <comment ref="E22" authorId="0" shapeId="0" xr:uid="{F5B77AB5-0516-45F6-B372-147B3C2490D9}">
      <text>
        <r>
          <rPr>
            <sz val="10"/>
            <color indexed="81"/>
            <rFont val="Calibri"/>
            <family val="2"/>
          </rPr>
          <t>Fig : Pierna Ballet estirada en el muro_x000D_
 GD : 1.6</t>
        </r>
      </text>
    </comment>
    <comment ref="E23" authorId="0" shapeId="0" xr:uid="{790F67C9-95C5-41FD-A435-F58CF1F5115B}">
      <text>
        <r>
          <rPr>
            <sz val="10"/>
            <color indexed="81"/>
            <rFont val="Calibri"/>
            <family val="2"/>
          </rPr>
          <t>Fig : Ascensor_x000D_
 GD : 1.9</t>
        </r>
      </text>
    </comment>
    <comment ref="E24" authorId="0" shapeId="0" xr:uid="{0695C5A1-C064-43C7-BC77-03F09DABDF3D}">
      <text>
        <r>
          <rPr>
            <sz val="10"/>
            <color indexed="81"/>
            <rFont val="Calibri"/>
            <family val="2"/>
          </rPr>
          <t>Fig : Pierna Ballet estirada en el muro_x000D_
 GD : 1.6</t>
        </r>
      </text>
    </comment>
    <comment ref="E25" authorId="0" shapeId="0" xr:uid="{C473FD8A-295B-4D0F-945E-7ECF79D0FA03}">
      <text>
        <r>
          <rPr>
            <sz val="10"/>
            <color indexed="81"/>
            <rFont val="Calibri"/>
            <family val="2"/>
          </rPr>
          <t>Fig : Ascensor_x000D_
 GD : 1.9</t>
        </r>
      </text>
    </comment>
    <comment ref="E26" authorId="0" shapeId="0" xr:uid="{0889E51E-7BBB-46B1-92D1-7039891D284F}">
      <text>
        <r>
          <rPr>
            <sz val="10"/>
            <color indexed="81"/>
            <rFont val="Calibri"/>
            <family val="2"/>
          </rPr>
          <t>Fig : Pierna Ballet estirada en el muro_x000D_
 GD : 1.6</t>
        </r>
      </text>
    </comment>
    <comment ref="E27" authorId="0" shapeId="0" xr:uid="{30B962A5-AE4B-4929-AF65-EB5867291F3C}">
      <text>
        <r>
          <rPr>
            <sz val="10"/>
            <color indexed="81"/>
            <rFont val="Calibri"/>
            <family val="2"/>
          </rPr>
          <t>Fig : Ascensor_x000D_
 GD : 1.9</t>
        </r>
      </text>
    </comment>
    <comment ref="E28" authorId="0" shapeId="0" xr:uid="{B7D0B483-0680-47DB-95FB-00160E65AD8F}">
      <text>
        <r>
          <rPr>
            <sz val="10"/>
            <color indexed="81"/>
            <rFont val="Calibri"/>
            <family val="2"/>
          </rPr>
          <t>Fig : Pierna Ballet estirada en el muro_x000D_
 GD : 1.6</t>
        </r>
      </text>
    </comment>
    <comment ref="E29" authorId="0" shapeId="0" xr:uid="{6A3E1F55-9CBA-4ABE-9AD1-EE6F30898746}">
      <text>
        <r>
          <rPr>
            <sz val="10"/>
            <color indexed="81"/>
            <rFont val="Calibri"/>
            <family val="2"/>
          </rPr>
          <t>Fig : Ascensor_x000D_
 GD : 1.9</t>
        </r>
      </text>
    </comment>
    <comment ref="E30" authorId="0" shapeId="0" xr:uid="{812B5B7B-5200-40F7-A7F7-CB88DD85AE9F}">
      <text>
        <r>
          <rPr>
            <sz val="10"/>
            <color indexed="81"/>
            <rFont val="Calibri"/>
            <family val="2"/>
          </rPr>
          <t>Fig : Pierna Ballet estirada en el muro_x000D_
 GD : 1.6</t>
        </r>
      </text>
    </comment>
    <comment ref="E31" authorId="0" shapeId="0" xr:uid="{5E62BE2C-72BC-49B7-A43F-85EF2C5960FE}">
      <text>
        <r>
          <rPr>
            <sz val="10"/>
            <color indexed="81"/>
            <rFont val="Calibri"/>
            <family val="2"/>
          </rPr>
          <t>Fig : Ascensor_x000D_
 GD : 1.9</t>
        </r>
      </text>
    </comment>
    <comment ref="E32" authorId="0" shapeId="0" xr:uid="{4878FDA2-8092-47C2-8C6E-063351C13B94}">
      <text>
        <r>
          <rPr>
            <sz val="10"/>
            <color indexed="81"/>
            <rFont val="Calibri"/>
            <family val="2"/>
          </rPr>
          <t>Fig : Pierna Ballet estirada en el muro_x000D_
 GD : 1.6</t>
        </r>
      </text>
    </comment>
    <comment ref="E33" authorId="0" shapeId="0" xr:uid="{AAFBDB01-1D73-43EE-BF0A-89E6FAE01CA1}">
      <text>
        <r>
          <rPr>
            <sz val="10"/>
            <color indexed="81"/>
            <rFont val="Calibri"/>
            <family val="2"/>
          </rPr>
          <t>Fig : Ascensor_x000D_
 GD : 1.9</t>
        </r>
      </text>
    </comment>
    <comment ref="E36" authorId="0" shapeId="0" xr:uid="{FEAC60C9-6727-49DA-9F80-A53E8E43F50E}">
      <text>
        <r>
          <rPr>
            <sz val="10"/>
            <color indexed="81"/>
            <rFont val="Calibri"/>
            <family val="2"/>
          </rPr>
          <t>Fig : Pierna Ballet estirada en el muro_x000D_
 GD : 1.6</t>
        </r>
      </text>
    </comment>
    <comment ref="E37" authorId="0" shapeId="0" xr:uid="{4AB6EBE4-CE7B-454E-AAB8-9C1D5C171BD8}">
      <text>
        <r>
          <rPr>
            <sz val="10"/>
            <color indexed="81"/>
            <rFont val="Calibri"/>
            <family val="2"/>
          </rPr>
          <t>Fig : Ascensor_x000D_
 GD : 1.9</t>
        </r>
      </text>
    </comment>
    <comment ref="E38" authorId="0" shapeId="0" xr:uid="{32A202E1-B73C-4633-AAF2-A3606F4702B7}">
      <text>
        <r>
          <rPr>
            <sz val="10"/>
            <color indexed="81"/>
            <rFont val="Calibri"/>
            <family val="2"/>
          </rPr>
          <t>Fig : Pierna Ballet estirada en el muro_x000D_
 GD : 1.6</t>
        </r>
      </text>
    </comment>
    <comment ref="E39" authorId="0" shapeId="0" xr:uid="{55BFDD21-90FF-4351-B3C3-993D7CD7E0B7}">
      <text>
        <r>
          <rPr>
            <sz val="10"/>
            <color indexed="81"/>
            <rFont val="Calibri"/>
            <family val="2"/>
          </rPr>
          <t>Fig : Ascensor_x000D_
 GD : 1.9</t>
        </r>
      </text>
    </comment>
    <comment ref="E40" authorId="0" shapeId="0" xr:uid="{FBE81CB7-DC8E-43FE-BA31-1C5174AC5ED8}">
      <text>
        <r>
          <rPr>
            <sz val="10"/>
            <color indexed="81"/>
            <rFont val="Calibri"/>
            <family val="2"/>
          </rPr>
          <t>Fig : Pierna Ballet estirada en el muro_x000D_
 GD : 1.6</t>
        </r>
      </text>
    </comment>
    <comment ref="E41" authorId="0" shapeId="0" xr:uid="{7C07BBD1-0C1A-48AB-A3A6-32969BB5D155}">
      <text>
        <r>
          <rPr>
            <sz val="10"/>
            <color indexed="81"/>
            <rFont val="Calibri"/>
            <family val="2"/>
          </rPr>
          <t>Fig : Ascensor_x000D_
 GD : 1.9</t>
        </r>
      </text>
    </comment>
    <comment ref="E42" authorId="0" shapeId="0" xr:uid="{5CF8993D-1B34-4A66-9C24-799342776ED4}">
      <text>
        <r>
          <rPr>
            <sz val="10"/>
            <color indexed="81"/>
            <rFont val="Calibri"/>
            <family val="2"/>
          </rPr>
          <t>Fig : Pierna Ballet estirada en el muro_x000D_
 GD : 1.6</t>
        </r>
      </text>
    </comment>
    <comment ref="E43" authorId="0" shapeId="0" xr:uid="{B0D1854E-7967-4F9B-9E5D-E570B22B0E04}">
      <text>
        <r>
          <rPr>
            <sz val="10"/>
            <color indexed="81"/>
            <rFont val="Calibri"/>
            <family val="2"/>
          </rPr>
          <t>Fig : Ascensor_x000D_
 GD : 1.9</t>
        </r>
      </text>
    </comment>
    <comment ref="E44" authorId="0" shapeId="0" xr:uid="{458CC806-20C7-410C-ACD2-9C424CCD9FB8}">
      <text>
        <r>
          <rPr>
            <sz val="10"/>
            <color indexed="81"/>
            <rFont val="Calibri"/>
            <family val="2"/>
          </rPr>
          <t>Fig : Pierna Ballet estirada en el muro_x000D_
 GD : 1.6</t>
        </r>
      </text>
    </comment>
    <comment ref="E45" authorId="0" shapeId="0" xr:uid="{EF46E16A-CAC3-4C27-80F5-3BE74C101F21}">
      <text>
        <r>
          <rPr>
            <sz val="10"/>
            <color indexed="81"/>
            <rFont val="Calibri"/>
            <family val="2"/>
          </rPr>
          <t>Fig : Ascensor_x000D_
 GD : 1.9</t>
        </r>
      </text>
    </comment>
    <comment ref="E46" authorId="0" shapeId="0" xr:uid="{99C403EF-BC35-4549-9015-4DEF5F071B00}">
      <text>
        <r>
          <rPr>
            <sz val="10"/>
            <color indexed="81"/>
            <rFont val="Calibri"/>
            <family val="2"/>
          </rPr>
          <t>Fig : Pierna Ballet estirada en el muro_x000D_
 GD : 1.6</t>
        </r>
      </text>
    </comment>
    <comment ref="E47" authorId="0" shapeId="0" xr:uid="{1F4EFD9A-D741-4E69-B664-49D9E6973C48}">
      <text>
        <r>
          <rPr>
            <sz val="10"/>
            <color indexed="81"/>
            <rFont val="Calibri"/>
            <family val="2"/>
          </rPr>
          <t>Fig : Ascensor_x000D_
 GD : 1.9</t>
        </r>
      </text>
    </comment>
    <comment ref="E48" authorId="0" shapeId="0" xr:uid="{6FB10A32-130A-4278-B7EA-A1602928C8A0}">
      <text>
        <r>
          <rPr>
            <sz val="10"/>
            <color indexed="81"/>
            <rFont val="Calibri"/>
            <family val="2"/>
          </rPr>
          <t>Fig : Pierna Ballet estirada en el muro_x000D_
 GD : 1.6</t>
        </r>
      </text>
    </comment>
    <comment ref="E49" authorId="0" shapeId="0" xr:uid="{9807EB34-444D-4234-82CB-2D5A19DBD95A}">
      <text>
        <r>
          <rPr>
            <sz val="10"/>
            <color indexed="81"/>
            <rFont val="Calibri"/>
            <family val="2"/>
          </rPr>
          <t>Fig : Ascensor_x000D_
 GD : 1.9</t>
        </r>
      </text>
    </comment>
    <comment ref="E50" authorId="0" shapeId="0" xr:uid="{0CAE7D1E-DCA5-4480-8914-4E7EDA7D1A65}">
      <text>
        <r>
          <rPr>
            <sz val="10"/>
            <color indexed="81"/>
            <rFont val="Calibri"/>
            <family val="2"/>
          </rPr>
          <t>Fig : Pierna Ballet estirada en el muro_x000D_
 GD : 1.6</t>
        </r>
      </text>
    </comment>
    <comment ref="E51" authorId="0" shapeId="0" xr:uid="{AD702971-EAF5-40B1-9713-326DC8A8DCA4}">
      <text>
        <r>
          <rPr>
            <sz val="10"/>
            <color indexed="81"/>
            <rFont val="Calibri"/>
            <family val="2"/>
          </rPr>
          <t>Fig : Ascensor_x000D_
 GD : 1.9</t>
        </r>
      </text>
    </comment>
    <comment ref="E52" authorId="0" shapeId="0" xr:uid="{624EB00E-E320-4A99-A168-63AA5873446F}">
      <text>
        <r>
          <rPr>
            <sz val="10"/>
            <color indexed="81"/>
            <rFont val="Calibri"/>
            <family val="2"/>
          </rPr>
          <t>Fig : Pierna Ballet estirada en el muro_x000D_
 GD : 1.6</t>
        </r>
      </text>
    </comment>
    <comment ref="E53" authorId="0" shapeId="0" xr:uid="{5301290F-BBCB-46E4-B3C2-05AF3FD41EA8}">
      <text>
        <r>
          <rPr>
            <sz val="10"/>
            <color indexed="81"/>
            <rFont val="Calibri"/>
            <family val="2"/>
          </rPr>
          <t>Fig : Ascensor_x000D_
 GD : 1.9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<sst xmlns="http://schemas.openxmlformats.org/spreadsheetml/2006/main" count="397" uniqueCount="148">
  <si>
    <t>CLUB</t>
  </si>
  <si>
    <t>Máxima</t>
  </si>
  <si>
    <t>Minima</t>
  </si>
  <si>
    <t>SUMA PARCIAL</t>
  </si>
  <si>
    <t>TOTAL</t>
  </si>
  <si>
    <t>Orden</t>
  </si>
  <si>
    <t>Deportista</t>
  </si>
  <si>
    <t>Club</t>
  </si>
  <si>
    <t>Penaliz</t>
  </si>
  <si>
    <t>GD</t>
  </si>
  <si>
    <t>Total GD</t>
  </si>
  <si>
    <t>Nombre figura</t>
  </si>
  <si>
    <t>Clubes</t>
  </si>
  <si>
    <t>DEPORTISTA</t>
  </si>
  <si>
    <t>Liga de Natación de Antioquia</t>
  </si>
  <si>
    <t>Estrellas de Antioquia</t>
  </si>
  <si>
    <t>SincroAntioquia</t>
  </si>
  <si>
    <t>Swan</t>
  </si>
  <si>
    <t>SwordFish</t>
  </si>
  <si>
    <t>Water Drop</t>
  </si>
  <si>
    <t>Juez 1</t>
  </si>
  <si>
    <t>Juez 2</t>
  </si>
  <si>
    <t>Juez 3</t>
  </si>
  <si>
    <t>Juez 4</t>
  </si>
  <si>
    <t>Juez 5</t>
  </si>
  <si>
    <t>Juez 6</t>
  </si>
  <si>
    <t>Juez 7</t>
  </si>
  <si>
    <t>Entrenadora</t>
  </si>
  <si>
    <t>Fig.</t>
  </si>
  <si>
    <t>Jueces en panel</t>
  </si>
  <si>
    <t>Jueces calculados</t>
  </si>
  <si>
    <t>Puntajes y posiciones finales</t>
  </si>
  <si>
    <t>Orden Salida</t>
  </si>
  <si>
    <t>Posición Final</t>
  </si>
  <si>
    <t>Puntaje Final</t>
  </si>
  <si>
    <t>O.A.</t>
  </si>
  <si>
    <t>Sel. Antioquia</t>
  </si>
  <si>
    <t>AquaSwim</t>
  </si>
  <si>
    <t>N.A.</t>
  </si>
  <si>
    <t>Kip</t>
  </si>
  <si>
    <t>Cantidad de jueces x panel</t>
  </si>
  <si>
    <t>Panel 2</t>
  </si>
  <si>
    <t>Compite</t>
  </si>
  <si>
    <t>Jueces</t>
  </si>
  <si>
    <t>Claudia Estrada</t>
  </si>
  <si>
    <t>Gabriela Salcedo</t>
  </si>
  <si>
    <t>Lia Manotas</t>
  </si>
  <si>
    <t>Oscar Sierra</t>
  </si>
  <si>
    <t>Encabezado de la planilla y Puntajes</t>
  </si>
  <si>
    <t>Panel único</t>
  </si>
  <si>
    <t>Calculado</t>
  </si>
  <si>
    <t>Ana M. Lopera</t>
  </si>
  <si>
    <t>Ana Sofia Molina</t>
  </si>
  <si>
    <t>Carolina Acevedo</t>
  </si>
  <si>
    <t>Laura Velez Osorio</t>
  </si>
  <si>
    <t>Lina M. Navarro</t>
  </si>
  <si>
    <t>Lina M. Zapata</t>
  </si>
  <si>
    <t>Maria C. Palacios</t>
  </si>
  <si>
    <t>Maria F. Vasquez</t>
  </si>
  <si>
    <t>Mery Gómez</t>
  </si>
  <si>
    <t>Sarita Percy V.</t>
  </si>
  <si>
    <t>Antioquia Artística</t>
  </si>
  <si>
    <t>Juez arbitro :</t>
  </si>
  <si>
    <t>Mesa :</t>
  </si>
  <si>
    <t>1</t>
  </si>
  <si>
    <t>2</t>
  </si>
  <si>
    <t>3</t>
  </si>
  <si>
    <t>4</t>
  </si>
  <si>
    <t>5</t>
  </si>
  <si>
    <t>6</t>
  </si>
  <si>
    <t>7</t>
  </si>
  <si>
    <t>Prom. X GD</t>
  </si>
  <si>
    <t>Prom.</t>
  </si>
  <si>
    <t>ORDEN</t>
  </si>
  <si>
    <t>N.A</t>
  </si>
  <si>
    <t>Op 1 G1</t>
  </si>
  <si>
    <t>Op 2 G1</t>
  </si>
  <si>
    <t>Tipo</t>
  </si>
  <si>
    <t>Formato para Registro Impar</t>
  </si>
  <si>
    <t>Formato para Registro NoCompite</t>
  </si>
  <si>
    <t>Asignado</t>
  </si>
  <si>
    <t>Nombre</t>
  </si>
  <si>
    <t>Disponibles</t>
  </si>
  <si>
    <t>Op 1 G2</t>
  </si>
  <si>
    <t>Op 1 G3</t>
  </si>
  <si>
    <t>Op 2 G3</t>
  </si>
  <si>
    <t>Op 2 G2</t>
  </si>
  <si>
    <t>Cod</t>
  </si>
  <si>
    <t>Grupo</t>
  </si>
  <si>
    <t>Cód</t>
  </si>
  <si>
    <t>Descripcion</t>
  </si>
  <si>
    <t>Obl. 2</t>
  </si>
  <si>
    <t>Obl. 1</t>
  </si>
  <si>
    <t>Grupo opcional escogido</t>
  </si>
  <si>
    <t>Formato para registro de una deportista</t>
  </si>
  <si>
    <t>Categoria</t>
  </si>
  <si>
    <t>Infantil</t>
  </si>
  <si>
    <t xml:space="preserve">Categoria : </t>
  </si>
  <si>
    <t>Juvenil</t>
  </si>
  <si>
    <t>Jupiter</t>
  </si>
  <si>
    <t>Albatross Half Twist</t>
  </si>
  <si>
    <t>240a</t>
  </si>
  <si>
    <t>Porpoise Continuous Spin 720°</t>
  </si>
  <si>
    <t>355g</t>
  </si>
  <si>
    <t>Oceanea</t>
  </si>
  <si>
    <t>Swordtail</t>
  </si>
  <si>
    <t>Seagull</t>
  </si>
  <si>
    <t>Ariana</t>
  </si>
  <si>
    <t>Rio</t>
  </si>
  <si>
    <t>-</t>
  </si>
  <si>
    <t>Lina Zapata</t>
  </si>
  <si>
    <t>Angela Gómez</t>
  </si>
  <si>
    <t>Valentina Barajas</t>
  </si>
  <si>
    <t>Cód Fig.</t>
  </si>
  <si>
    <t>Festival infantil departamental Fase I</t>
  </si>
  <si>
    <t>Abril 23 de 2022</t>
  </si>
  <si>
    <t>ESTRELLAS DE ANTIOQUIA</t>
  </si>
  <si>
    <t>AQUASWIM</t>
  </si>
  <si>
    <t>SINCROANTIOQUIA NADO</t>
  </si>
  <si>
    <t xml:space="preserve"> </t>
  </si>
  <si>
    <t>Categoría Novatas 9-10</t>
  </si>
  <si>
    <t>Pierna Ballet estirada en el muro</t>
  </si>
  <si>
    <t>Ascensor</t>
  </si>
  <si>
    <t>esmeralda gomez pinzon</t>
  </si>
  <si>
    <t>celeste rincÃ³n correa</t>
  </si>
  <si>
    <t>manuela garcia valencia</t>
  </si>
  <si>
    <t>isabella alvarez vargas</t>
  </si>
  <si>
    <t>isabella zapata echeverri</t>
  </si>
  <si>
    <t>maria paula navarro hernandez</t>
  </si>
  <si>
    <t>samara selva perez boddez</t>
  </si>
  <si>
    <t>paulina mesa yepes</t>
  </si>
  <si>
    <t>eloisa arias carvajal</t>
  </si>
  <si>
    <t>julieta martinez zuluaga</t>
  </si>
  <si>
    <t>martina lopez henao</t>
  </si>
  <si>
    <t>emiliana garces correa</t>
  </si>
  <si>
    <t>ana maria buitrago rios</t>
  </si>
  <si>
    <t>salome rodriguez zamudio</t>
  </si>
  <si>
    <t>martina quinchia jimenez</t>
  </si>
  <si>
    <t>maria isabel henao gallego</t>
  </si>
  <si>
    <t>maria paulina ramirez osorio</t>
  </si>
  <si>
    <t>TRANSFERENCIA</t>
  </si>
  <si>
    <t>maria del mar ortega cuartas</t>
  </si>
  <si>
    <t>luisa fernanda iral calle</t>
  </si>
  <si>
    <t>shaiel corredor garcÃa</t>
  </si>
  <si>
    <t>helen mamian correa</t>
  </si>
  <si>
    <t>paulina perez gonzalez</t>
  </si>
  <si>
    <t>sofia naranjo agudelo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</si>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</sst>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0.0"/>
    <numFmt numFmtId="166" formatCode="0.000"/>
    <numFmt numFmtId="167" formatCode="0.0000"/>
  </numFmts>
  <fonts count="33" x14ac:knownFonts="1">
    <font>
      <sz val="11"/>
      <color theme="1"/>
      <name val="Calibri"/>
      <family val="2"/>
      <scheme val="minor"/>
    </font>
    <font>
      <b/>
      <sz val="16"/>
      <name val="Arial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  <scheme val="minor"/>
    </font>
    <font>
      <b/>
      <sz val="12"/>
      <name val="Arial"/>
      <family val="2"/>
    </font>
    <font>
      <sz val="12"/>
      <color theme="1"/>
      <name val="Calibri"/>
      <family val="2"/>
      <scheme val="minor"/>
    </font>
    <font>
      <b/>
      <sz val="2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i/>
      <sz val="1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i/>
      <strike/>
      <sz val="10"/>
      <name val="Calibri"/>
      <family val="2"/>
      <scheme val="minor"/>
    </font>
    <font>
      <sz val="10"/>
      <color indexed="81"/>
      <name val="Calibri"/>
      <family val="2"/>
    </font>
    <font>
      <i/>
      <strike/>
      <sz val="1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</patternFill>
    </fill>
    <fill>
      <patternFill patternType="solid">
        <fgColor theme="4"/>
        <bgColor theme="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3" tint="0.59996337778862885"/>
      </left>
      <right/>
      <top style="thin">
        <color theme="3" tint="0.59996337778862885"/>
      </top>
      <bottom/>
      <diagonal/>
    </border>
    <border>
      <left/>
      <right/>
      <top style="thin">
        <color theme="3" tint="0.59996337778862885"/>
      </top>
      <bottom/>
      <diagonal/>
    </border>
    <border>
      <left/>
      <right style="thin">
        <color theme="3" tint="0.59996337778862885"/>
      </right>
      <top style="thin">
        <color theme="3" tint="0.59996337778862885"/>
      </top>
      <bottom/>
      <diagonal/>
    </border>
    <border>
      <left style="thin">
        <color theme="3" tint="0.59996337778862885"/>
      </left>
      <right/>
      <top/>
      <bottom/>
      <diagonal/>
    </border>
    <border>
      <left/>
      <right style="thin">
        <color theme="3" tint="0.59996337778862885"/>
      </right>
      <top/>
      <bottom/>
      <diagonal/>
    </border>
    <border>
      <left style="thin">
        <color theme="3" tint="0.59996337778862885"/>
      </left>
      <right/>
      <top/>
      <bottom style="thin">
        <color theme="3" tint="0.59996337778862885"/>
      </bottom>
      <diagonal/>
    </border>
    <border>
      <left/>
      <right/>
      <top/>
      <bottom style="thin">
        <color theme="3" tint="0.59996337778862885"/>
      </bottom>
      <diagonal/>
    </border>
    <border>
      <left/>
      <right style="thin">
        <color theme="3" tint="0.59996337778862885"/>
      </right>
      <top/>
      <bottom style="thin">
        <color theme="3" tint="0.59996337778862885"/>
      </bottom>
      <diagonal/>
    </border>
    <border>
      <left style="thin">
        <color theme="8" tint="0.59996337778862885"/>
      </left>
      <right/>
      <top style="thin">
        <color theme="8" tint="0.59996337778862885"/>
      </top>
      <bottom/>
      <diagonal/>
    </border>
    <border>
      <left/>
      <right/>
      <top style="thin">
        <color theme="8" tint="0.59996337778862885"/>
      </top>
      <bottom/>
      <diagonal/>
    </border>
    <border>
      <left/>
      <right style="thin">
        <color theme="8" tint="0.59996337778862885"/>
      </right>
      <top style="thin">
        <color theme="8" tint="0.59996337778862885"/>
      </top>
      <bottom/>
      <diagonal/>
    </border>
    <border>
      <left style="thin">
        <color theme="8" tint="0.59996337778862885"/>
      </left>
      <right/>
      <top/>
      <bottom/>
      <diagonal/>
    </border>
    <border>
      <left/>
      <right style="thin">
        <color theme="8" tint="0.59996337778862885"/>
      </right>
      <top/>
      <bottom/>
      <diagonal/>
    </border>
    <border>
      <left style="thin">
        <color theme="8" tint="0.59996337778862885"/>
      </left>
      <right/>
      <top/>
      <bottom style="thin">
        <color theme="8" tint="0.59996337778862885"/>
      </bottom>
      <diagonal/>
    </border>
    <border>
      <left/>
      <right/>
      <top/>
      <bottom style="thin">
        <color theme="8" tint="0.59996337778862885"/>
      </bottom>
      <diagonal/>
    </border>
    <border>
      <left/>
      <right style="thin">
        <color theme="8" tint="0.59996337778862885"/>
      </right>
      <top/>
      <bottom style="thin">
        <color theme="8" tint="0.59996337778862885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6">
    <xf numFmtId="0" fontId="0" fillId="0" borderId="0"/>
    <xf numFmtId="0" fontId="2" fillId="0" borderId="0"/>
    <xf numFmtId="164" fontId="2" fillId="0" borderId="0" applyFill="0" applyBorder="0" applyAlignment="0" applyProtection="0"/>
    <xf numFmtId="0" fontId="12" fillId="0" borderId="0"/>
    <xf numFmtId="0" fontId="9" fillId="0" borderId="0"/>
    <xf numFmtId="0" fontId="27" fillId="5" borderId="0" applyNumberFormat="0" applyBorder="0" applyAlignment="0" applyProtection="0"/>
  </cellStyleXfs>
  <cellXfs count="201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3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3" fillId="0" borderId="0" xfId="0" applyFont="1" applyBorder="1" applyAlignment="1">
      <alignment horizontal="left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8" fillId="0" borderId="0" xfId="1" applyFont="1" applyFill="1" applyBorder="1"/>
    <xf numFmtId="0" fontId="3" fillId="0" borderId="0" xfId="0" applyFont="1" applyFill="1" applyBorder="1" applyAlignment="1"/>
    <xf numFmtId="0" fontId="0" fillId="0" borderId="0" xfId="0" applyFill="1"/>
    <xf numFmtId="0" fontId="0" fillId="0" borderId="0" xfId="0" applyAlignment="1">
      <alignment horizontal="center" vertical="center"/>
    </xf>
    <xf numFmtId="0" fontId="0" fillId="0" borderId="0" xfId="0" applyNumberFormat="1"/>
    <xf numFmtId="0" fontId="7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5" fillId="0" borderId="0" xfId="0" applyFont="1" applyFill="1" applyBorder="1" applyAlignment="1">
      <alignment vertical="center"/>
    </xf>
    <xf numFmtId="0" fontId="0" fillId="0" borderId="0" xfId="0" applyFill="1" applyBorder="1" applyAlignment="1"/>
    <xf numFmtId="0" fontId="5" fillId="0" borderId="0" xfId="0" applyFont="1" applyAlignment="1">
      <alignment vertical="center"/>
    </xf>
    <xf numFmtId="0" fontId="0" fillId="0" borderId="0" xfId="0" applyFont="1"/>
    <xf numFmtId="0" fontId="16" fillId="0" borderId="0" xfId="0" applyFont="1" applyFill="1" applyBorder="1"/>
    <xf numFmtId="0" fontId="17" fillId="0" borderId="0" xfId="0" applyFont="1" applyFill="1" applyBorder="1" applyAlignment="1">
      <alignment horizontal="center"/>
    </xf>
    <xf numFmtId="0" fontId="18" fillId="0" borderId="0" xfId="0" applyFont="1"/>
    <xf numFmtId="0" fontId="17" fillId="0" borderId="0" xfId="0" applyNumberFormat="1" applyFont="1" applyFill="1" applyBorder="1" applyAlignment="1">
      <alignment horizontal="center" vertical="center" wrapText="1"/>
    </xf>
    <xf numFmtId="0" fontId="17" fillId="0" borderId="0" xfId="0" applyNumberFormat="1" applyFont="1" applyFill="1" applyBorder="1" applyAlignment="1">
      <alignment horizontal="center" vertical="center"/>
    </xf>
    <xf numFmtId="0" fontId="18" fillId="0" borderId="0" xfId="0" applyFont="1" applyFill="1" applyAlignment="1">
      <alignment horizontal="center" vertical="center"/>
    </xf>
    <xf numFmtId="0" fontId="18" fillId="0" borderId="0" xfId="0" applyFont="1" applyFill="1"/>
    <xf numFmtId="166" fontId="18" fillId="0" borderId="0" xfId="0" applyNumberFormat="1" applyFont="1" applyFill="1"/>
    <xf numFmtId="1" fontId="18" fillId="0" borderId="0" xfId="0" applyNumberFormat="1" applyFont="1" applyFill="1" applyAlignment="1">
      <alignment horizontal="center" vertical="center"/>
    </xf>
    <xf numFmtId="0" fontId="17" fillId="0" borderId="0" xfId="0" applyFont="1" applyFill="1" applyBorder="1" applyAlignment="1">
      <alignment horizontal="center" vertical="center" wrapText="1"/>
    </xf>
    <xf numFmtId="0" fontId="17" fillId="0" borderId="0" xfId="0" applyFont="1" applyFill="1" applyBorder="1" applyAlignment="1">
      <alignment horizontal="center" vertical="center"/>
    </xf>
    <xf numFmtId="0" fontId="18" fillId="0" borderId="0" xfId="0" applyFont="1" applyFill="1" applyBorder="1" applyAlignment="1">
      <alignment horizontal="center"/>
    </xf>
    <xf numFmtId="0" fontId="18" fillId="0" borderId="0" xfId="0" applyFont="1" applyFill="1" applyBorder="1" applyAlignment="1">
      <alignment horizontal="left"/>
    </xf>
    <xf numFmtId="0" fontId="18" fillId="0" borderId="0" xfId="0" applyFont="1" applyFill="1" applyBorder="1" applyAlignment="1">
      <alignment horizontal="left" vertical="center"/>
    </xf>
    <xf numFmtId="0" fontId="18" fillId="0" borderId="0" xfId="0" applyFont="1" applyFill="1" applyBorder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15" fillId="0" borderId="0" xfId="0" applyFont="1" applyFill="1" applyBorder="1"/>
    <xf numFmtId="0" fontId="15" fillId="0" borderId="0" xfId="0" applyFont="1"/>
    <xf numFmtId="0" fontId="0" fillId="0" borderId="0" xfId="0" applyFont="1" applyFill="1" applyBorder="1"/>
    <xf numFmtId="0" fontId="18" fillId="0" borderId="0" xfId="0" applyFont="1" applyFill="1" applyBorder="1"/>
    <xf numFmtId="165" fontId="16" fillId="0" borderId="0" xfId="0" applyNumberFormat="1" applyFont="1" applyFill="1" applyBorder="1" applyAlignment="1">
      <alignment horizontal="center" vertical="center"/>
    </xf>
    <xf numFmtId="0" fontId="18" fillId="2" borderId="0" xfId="0" applyFont="1" applyFill="1" applyBorder="1" applyAlignment="1">
      <alignment horizontal="left"/>
    </xf>
    <xf numFmtId="0" fontId="18" fillId="2" borderId="0" xfId="0" applyFont="1" applyFill="1" applyBorder="1"/>
    <xf numFmtId="0" fontId="17" fillId="0" borderId="7" xfId="0" applyFont="1" applyFill="1" applyBorder="1" applyAlignment="1">
      <alignment horizontal="left" vertical="center"/>
    </xf>
    <xf numFmtId="0" fontId="17" fillId="2" borderId="9" xfId="0" applyFont="1" applyFill="1" applyBorder="1" applyAlignment="1">
      <alignment horizontal="left" vertical="center"/>
    </xf>
    <xf numFmtId="0" fontId="17" fillId="2" borderId="10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19" fillId="3" borderId="4" xfId="0" applyFont="1" applyFill="1" applyBorder="1" applyAlignment="1">
      <alignment horizontal="center" vertical="center"/>
    </xf>
    <xf numFmtId="0" fontId="10" fillId="2" borderId="4" xfId="1" applyFont="1" applyFill="1" applyBorder="1" applyAlignment="1">
      <alignment horizontal="right"/>
    </xf>
    <xf numFmtId="0" fontId="10" fillId="2" borderId="5" xfId="1" applyFont="1" applyFill="1" applyBorder="1" applyAlignment="1"/>
    <xf numFmtId="0" fontId="10" fillId="2" borderId="6" xfId="1" applyFont="1" applyFill="1" applyBorder="1" applyAlignment="1"/>
    <xf numFmtId="0" fontId="3" fillId="2" borderId="9" xfId="0" applyFont="1" applyFill="1" applyBorder="1" applyAlignment="1">
      <alignment horizontal="right"/>
    </xf>
    <xf numFmtId="0" fontId="10" fillId="2" borderId="10" xfId="1" applyFont="1" applyFill="1" applyBorder="1" applyAlignment="1"/>
    <xf numFmtId="0" fontId="10" fillId="2" borderId="11" xfId="1" applyFont="1" applyFill="1" applyBorder="1" applyAlignment="1"/>
    <xf numFmtId="0" fontId="10" fillId="0" borderId="0" xfId="1" applyFont="1" applyFill="1" applyBorder="1" applyAlignment="1"/>
    <xf numFmtId="0" fontId="17" fillId="3" borderId="5" xfId="0" applyFont="1" applyFill="1" applyBorder="1" applyAlignment="1">
      <alignment horizontal="center" vertical="center"/>
    </xf>
    <xf numFmtId="0" fontId="8" fillId="0" borderId="7" xfId="1" applyFont="1" applyFill="1" applyBorder="1" applyAlignment="1"/>
    <xf numFmtId="0" fontId="8" fillId="2" borderId="7" xfId="1" applyFont="1" applyFill="1" applyBorder="1" applyAlignment="1"/>
    <xf numFmtId="0" fontId="8" fillId="0" borderId="9" xfId="1" applyFont="1" applyFill="1" applyBorder="1" applyAlignment="1"/>
    <xf numFmtId="0" fontId="8" fillId="0" borderId="15" xfId="1" applyFont="1" applyFill="1" applyBorder="1" applyAlignment="1">
      <alignment horizontal="left"/>
    </xf>
    <xf numFmtId="0" fontId="8" fillId="2" borderId="15" xfId="1" applyFont="1" applyFill="1" applyBorder="1" applyAlignment="1">
      <alignment horizontal="left"/>
    </xf>
    <xf numFmtId="0" fontId="8" fillId="0" borderId="17" xfId="1" applyFont="1" applyFill="1" applyBorder="1" applyAlignment="1">
      <alignment horizontal="left"/>
    </xf>
    <xf numFmtId="0" fontId="10" fillId="2" borderId="5" xfId="1" applyFont="1" applyFill="1" applyBorder="1" applyAlignment="1">
      <alignment horizontal="right" vertical="center"/>
    </xf>
    <xf numFmtId="0" fontId="3" fillId="0" borderId="0" xfId="0" applyFont="1" applyAlignment="1">
      <alignment horizontal="center"/>
    </xf>
    <xf numFmtId="165" fontId="0" fillId="0" borderId="0" xfId="0" applyNumberFormat="1" applyFill="1" applyBorder="1"/>
    <xf numFmtId="165" fontId="0" fillId="0" borderId="0" xfId="0" applyNumberFormat="1"/>
    <xf numFmtId="0" fontId="10" fillId="2" borderId="10" xfId="1" applyFont="1" applyFill="1" applyBorder="1" applyAlignment="1">
      <alignment horizontal="right"/>
    </xf>
    <xf numFmtId="0" fontId="27" fillId="5" borderId="0" xfId="5" applyBorder="1" applyAlignment="1">
      <alignment horizontal="center"/>
    </xf>
    <xf numFmtId="0" fontId="27" fillId="5" borderId="0" xfId="5" applyBorder="1" applyAlignment="1">
      <alignment horizontal="right"/>
    </xf>
    <xf numFmtId="0" fontId="0" fillId="0" borderId="0" xfId="0" applyFont="1" applyAlignment="1">
      <alignment horizontal="left"/>
    </xf>
    <xf numFmtId="0" fontId="0" fillId="0" borderId="0" xfId="0" applyFill="1" applyBorder="1" applyAlignment="1">
      <alignment horizontal="left"/>
    </xf>
    <xf numFmtId="0" fontId="26" fillId="6" borderId="20" xfId="0" applyFont="1" applyFill="1" applyBorder="1" applyAlignment="1">
      <alignment horizontal="center" vertical="center"/>
    </xf>
    <xf numFmtId="0" fontId="26" fillId="6" borderId="2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/>
    </xf>
    <xf numFmtId="1" fontId="16" fillId="0" borderId="1" xfId="0" applyNumberFormat="1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 textRotation="180"/>
    </xf>
    <xf numFmtId="165" fontId="16" fillId="0" borderId="1" xfId="0" applyNumberFormat="1" applyFont="1" applyFill="1" applyBorder="1" applyAlignment="1">
      <alignment horizontal="center" vertical="center" textRotation="180"/>
    </xf>
    <xf numFmtId="166" fontId="16" fillId="0" borderId="1" xfId="0" applyNumberFormat="1" applyFont="1" applyFill="1" applyBorder="1" applyAlignment="1">
      <alignment horizontal="center" vertical="center" textRotation="180" wrapText="1" readingOrder="1"/>
    </xf>
    <xf numFmtId="0" fontId="16" fillId="0" borderId="1" xfId="0" applyFont="1" applyFill="1" applyBorder="1" applyAlignment="1">
      <alignment horizontal="center" vertical="center" wrapText="1"/>
    </xf>
    <xf numFmtId="166" fontId="16" fillId="0" borderId="1" xfId="0" applyNumberFormat="1" applyFont="1" applyFill="1" applyBorder="1" applyAlignment="1">
      <alignment horizontal="center" vertical="center"/>
    </xf>
    <xf numFmtId="0" fontId="16" fillId="0" borderId="3" xfId="0" applyFont="1" applyFill="1" applyBorder="1" applyAlignment="1">
      <alignment horizontal="center" vertical="center"/>
    </xf>
    <xf numFmtId="165" fontId="18" fillId="0" borderId="22" xfId="0" applyNumberFormat="1" applyFont="1" applyFill="1" applyBorder="1" applyAlignment="1">
      <alignment horizontal="center" vertical="center"/>
    </xf>
    <xf numFmtId="165" fontId="18" fillId="2" borderId="22" xfId="0" applyNumberFormat="1" applyFont="1" applyFill="1" applyBorder="1" applyAlignment="1">
      <alignment horizontal="center" vertical="center"/>
    </xf>
    <xf numFmtId="165" fontId="18" fillId="0" borderId="25" xfId="0" applyNumberFormat="1" applyFont="1" applyFill="1" applyBorder="1" applyAlignment="1">
      <alignment horizontal="center" vertical="center"/>
    </xf>
    <xf numFmtId="165" fontId="18" fillId="0" borderId="26" xfId="0" applyNumberFormat="1" applyFont="1" applyFill="1" applyBorder="1" applyAlignment="1">
      <alignment horizontal="center" vertical="center"/>
    </xf>
    <xf numFmtId="165" fontId="18" fillId="0" borderId="27" xfId="0" applyNumberFormat="1" applyFont="1" applyFill="1" applyBorder="1" applyAlignment="1">
      <alignment horizontal="center" vertical="center"/>
    </xf>
    <xf numFmtId="0" fontId="16" fillId="0" borderId="3" xfId="0" applyFont="1" applyFill="1" applyBorder="1" applyAlignment="1">
      <alignment vertical="center"/>
    </xf>
    <xf numFmtId="0" fontId="16" fillId="0" borderId="2" xfId="0" applyFont="1" applyFill="1" applyBorder="1" applyAlignment="1">
      <alignment vertical="center"/>
    </xf>
    <xf numFmtId="2" fontId="18" fillId="0" borderId="22" xfId="0" applyNumberFormat="1" applyFont="1" applyFill="1" applyBorder="1" applyAlignment="1">
      <alignment horizontal="center" vertical="center"/>
    </xf>
    <xf numFmtId="167" fontId="16" fillId="0" borderId="3" xfId="0" applyNumberFormat="1" applyFont="1" applyFill="1" applyBorder="1" applyAlignment="1">
      <alignment vertical="center"/>
    </xf>
    <xf numFmtId="0" fontId="16" fillId="0" borderId="23" xfId="0" applyFont="1" applyFill="1" applyBorder="1" applyAlignment="1">
      <alignment vertical="center"/>
    </xf>
    <xf numFmtId="0" fontId="16" fillId="0" borderId="24" xfId="0" applyFont="1" applyFill="1" applyBorder="1" applyAlignment="1">
      <alignment vertical="center"/>
    </xf>
    <xf numFmtId="2" fontId="18" fillId="0" borderId="25" xfId="0" applyNumberFormat="1" applyFont="1" applyFill="1" applyBorder="1" applyAlignment="1">
      <alignment horizontal="center" vertical="center"/>
    </xf>
    <xf numFmtId="167" fontId="16" fillId="0" borderId="23" xfId="0" applyNumberFormat="1" applyFont="1" applyFill="1" applyBorder="1" applyAlignment="1">
      <alignment vertical="center"/>
    </xf>
    <xf numFmtId="165" fontId="18" fillId="2" borderId="26" xfId="0" applyNumberFormat="1" applyFont="1" applyFill="1" applyBorder="1" applyAlignment="1">
      <alignment horizontal="center" vertical="center"/>
    </xf>
    <xf numFmtId="0" fontId="11" fillId="0" borderId="0" xfId="0" applyFont="1" applyFill="1" applyBorder="1" applyAlignment="1"/>
    <xf numFmtId="0" fontId="1" fillId="0" borderId="0" xfId="0" applyFont="1" applyFill="1" applyBorder="1" applyAlignment="1"/>
    <xf numFmtId="0" fontId="21" fillId="0" borderId="0" xfId="0" applyFont="1" applyAlignment="1"/>
    <xf numFmtId="0" fontId="23" fillId="0" borderId="0" xfId="0" applyFont="1" applyAlignment="1"/>
    <xf numFmtId="165" fontId="18" fillId="2" borderId="0" xfId="0" applyNumberFormat="1" applyFont="1" applyFill="1" applyBorder="1" applyAlignment="1">
      <alignment horizontal="center" vertical="center"/>
    </xf>
    <xf numFmtId="165" fontId="0" fillId="0" borderId="0" xfId="0" applyNumberFormat="1" applyFill="1"/>
    <xf numFmtId="165" fontId="0" fillId="0" borderId="0" xfId="0" applyNumberFormat="1" applyFill="1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center" vertical="center"/>
    </xf>
    <xf numFmtId="165" fontId="8" fillId="0" borderId="0" xfId="0" applyNumberFormat="1" applyFont="1" applyFill="1" applyAlignment="1">
      <alignment horizontal="center" vertical="center"/>
    </xf>
    <xf numFmtId="0" fontId="0" fillId="0" borderId="0" xfId="0" applyNumberFormat="1" applyFill="1"/>
    <xf numFmtId="0" fontId="18" fillId="2" borderId="0" xfId="0" applyFont="1" applyFill="1" applyBorder="1" applyAlignment="1">
      <alignment horizontal="center"/>
    </xf>
    <xf numFmtId="0" fontId="18" fillId="0" borderId="0" xfId="0" applyNumberFormat="1" applyFont="1" applyFill="1" applyAlignment="1">
      <alignment horizontal="center" vertical="center"/>
    </xf>
    <xf numFmtId="0" fontId="1" fillId="0" borderId="0" xfId="0" applyNumberFormat="1" applyFont="1" applyFill="1" applyBorder="1" applyAlignment="1">
      <alignment horizontal="center" vertical="center"/>
    </xf>
    <xf numFmtId="0" fontId="1" fillId="0" borderId="0" xfId="0" applyNumberFormat="1" applyFont="1" applyFill="1" applyBorder="1" applyAlignment="1">
      <alignment vertical="center"/>
    </xf>
    <xf numFmtId="0" fontId="0" fillId="0" borderId="0" xfId="0" applyFont="1" applyFill="1"/>
    <xf numFmtId="0" fontId="0" fillId="0" borderId="0" xfId="0" applyNumberFormat="1" applyFill="1" applyAlignment="1">
      <alignment vertical="center"/>
    </xf>
    <xf numFmtId="0" fontId="0" fillId="0" borderId="0" xfId="0" applyNumberFormat="1" applyFill="1" applyAlignment="1">
      <alignment horizontal="left" vertical="center"/>
    </xf>
    <xf numFmtId="0" fontId="8" fillId="0" borderId="0" xfId="0" applyNumberFormat="1" applyFont="1" applyFill="1" applyBorder="1" applyAlignment="1">
      <alignment horizontal="center" vertical="center"/>
    </xf>
    <xf numFmtId="0" fontId="8" fillId="0" borderId="0" xfId="0" applyNumberFormat="1" applyFont="1" applyFill="1" applyBorder="1" applyAlignment="1">
      <alignment vertical="center"/>
    </xf>
    <xf numFmtId="0" fontId="18" fillId="0" borderId="0" xfId="0" applyNumberFormat="1" applyFont="1" applyFill="1"/>
    <xf numFmtId="0" fontId="17" fillId="0" borderId="0" xfId="0" applyNumberFormat="1" applyFont="1" applyFill="1" applyAlignment="1">
      <alignment horizontal="center" vertical="center"/>
    </xf>
    <xf numFmtId="165" fontId="16" fillId="0" borderId="0" xfId="0" applyNumberFormat="1" applyFont="1" applyFill="1" applyBorder="1" applyAlignment="1">
      <alignment vertical="center"/>
    </xf>
    <xf numFmtId="0" fontId="16" fillId="0" borderId="1" xfId="0" applyNumberFormat="1" applyFont="1" applyFill="1" applyBorder="1" applyAlignment="1">
      <alignment horizontal="center" vertical="center"/>
    </xf>
    <xf numFmtId="166" fontId="16" fillId="0" borderId="33" xfId="0" applyNumberFormat="1" applyFont="1" applyFill="1" applyBorder="1" applyAlignment="1">
      <alignment horizontal="right" vertical="center"/>
    </xf>
    <xf numFmtId="166" fontId="16" fillId="0" borderId="34" xfId="0" applyNumberFormat="1" applyFont="1" applyFill="1" applyBorder="1" applyAlignment="1">
      <alignment horizontal="right" vertical="center"/>
    </xf>
    <xf numFmtId="166" fontId="18" fillId="0" borderId="3" xfId="0" applyNumberFormat="1" applyFont="1" applyFill="1" applyBorder="1" applyAlignment="1">
      <alignment vertical="center"/>
    </xf>
    <xf numFmtId="166" fontId="18" fillId="0" borderId="23" xfId="0" applyNumberFormat="1" applyFont="1" applyFill="1" applyBorder="1" applyAlignment="1">
      <alignment vertical="center"/>
    </xf>
    <xf numFmtId="165" fontId="28" fillId="0" borderId="35" xfId="0" applyNumberFormat="1" applyFont="1" applyFill="1" applyBorder="1" applyAlignment="1">
      <alignment horizontal="right" vertical="center"/>
    </xf>
    <xf numFmtId="165" fontId="28" fillId="0" borderId="36" xfId="0" applyNumberFormat="1" applyFont="1" applyFill="1" applyBorder="1" applyAlignment="1">
      <alignment horizontal="right" vertical="center"/>
    </xf>
    <xf numFmtId="0" fontId="24" fillId="3" borderId="3" xfId="0" applyFont="1" applyFill="1" applyBorder="1" applyAlignment="1">
      <alignment horizontal="center" vertical="center"/>
    </xf>
    <xf numFmtId="0" fontId="16" fillId="3" borderId="28" xfId="0" quotePrefix="1" applyFont="1" applyFill="1" applyBorder="1" applyAlignment="1">
      <alignment horizontal="center" vertical="center"/>
    </xf>
    <xf numFmtId="165" fontId="18" fillId="3" borderId="29" xfId="0" quotePrefix="1" applyNumberFormat="1" applyFont="1" applyFill="1" applyBorder="1" applyAlignment="1">
      <alignment horizontal="center" vertical="center"/>
    </xf>
    <xf numFmtId="165" fontId="18" fillId="3" borderId="22" xfId="0" applyNumberFormat="1" applyFont="1" applyFill="1" applyBorder="1" applyAlignment="1">
      <alignment horizontal="center" vertical="center"/>
    </xf>
    <xf numFmtId="165" fontId="18" fillId="3" borderId="30" xfId="0" applyNumberFormat="1" applyFont="1" applyFill="1" applyBorder="1" applyAlignment="1">
      <alignment horizontal="center" vertical="center"/>
    </xf>
    <xf numFmtId="165" fontId="19" fillId="3" borderId="26" xfId="0" applyNumberFormat="1" applyFont="1" applyFill="1" applyBorder="1" applyAlignment="1">
      <alignment horizontal="center" vertical="center"/>
    </xf>
    <xf numFmtId="165" fontId="19" fillId="3" borderId="22" xfId="0" applyNumberFormat="1" applyFont="1" applyFill="1" applyBorder="1" applyAlignment="1">
      <alignment horizontal="center" vertical="center"/>
    </xf>
    <xf numFmtId="2" fontId="19" fillId="3" borderId="22" xfId="0" applyNumberFormat="1" applyFont="1" applyFill="1" applyBorder="1" applyAlignment="1">
      <alignment horizontal="center" vertical="center"/>
    </xf>
    <xf numFmtId="166" fontId="17" fillId="3" borderId="22" xfId="0" applyNumberFormat="1" applyFont="1" applyFill="1" applyBorder="1" applyAlignment="1">
      <alignment horizontal="right" vertical="center"/>
    </xf>
    <xf numFmtId="166" fontId="29" fillId="3" borderId="33" xfId="0" applyNumberFormat="1" applyFont="1" applyFill="1" applyBorder="1" applyAlignment="1">
      <alignment horizontal="right" vertical="center"/>
    </xf>
    <xf numFmtId="166" fontId="19" fillId="3" borderId="3" xfId="0" applyNumberFormat="1" applyFont="1" applyFill="1" applyBorder="1" applyAlignment="1">
      <alignment vertical="center"/>
    </xf>
    <xf numFmtId="167" fontId="17" fillId="3" borderId="3" xfId="0" applyNumberFormat="1" applyFont="1" applyFill="1" applyBorder="1" applyAlignment="1">
      <alignment horizontal="center" vertical="center"/>
    </xf>
    <xf numFmtId="0" fontId="16" fillId="3" borderId="28" xfId="0" applyFont="1" applyFill="1" applyBorder="1" applyAlignment="1">
      <alignment horizontal="center" vertical="center"/>
    </xf>
    <xf numFmtId="0" fontId="16" fillId="3" borderId="23" xfId="0" applyFont="1" applyFill="1" applyBorder="1" applyAlignment="1">
      <alignment horizontal="center" vertical="center"/>
    </xf>
    <xf numFmtId="0" fontId="16" fillId="3" borderId="24" xfId="0" applyFont="1" applyFill="1" applyBorder="1" applyAlignment="1">
      <alignment vertical="center"/>
    </xf>
    <xf numFmtId="0" fontId="16" fillId="3" borderId="23" xfId="0" applyFont="1" applyFill="1" applyBorder="1" applyAlignment="1">
      <alignment vertical="center"/>
    </xf>
    <xf numFmtId="165" fontId="18" fillId="3" borderId="31" xfId="0" applyNumberFormat="1" applyFont="1" applyFill="1" applyBorder="1" applyAlignment="1">
      <alignment horizontal="center" vertical="center"/>
    </xf>
    <xf numFmtId="165" fontId="18" fillId="3" borderId="25" xfId="0" applyNumberFormat="1" applyFont="1" applyFill="1" applyBorder="1" applyAlignment="1">
      <alignment horizontal="center" vertical="center"/>
    </xf>
    <xf numFmtId="165" fontId="18" fillId="3" borderId="32" xfId="0" applyNumberFormat="1" applyFont="1" applyFill="1" applyBorder="1" applyAlignment="1">
      <alignment horizontal="center" vertical="center"/>
    </xf>
    <xf numFmtId="165" fontId="19" fillId="3" borderId="27" xfId="0" applyNumberFormat="1" applyFont="1" applyFill="1" applyBorder="1" applyAlignment="1">
      <alignment horizontal="center" vertical="center"/>
    </xf>
    <xf numFmtId="165" fontId="19" fillId="3" borderId="25" xfId="0" applyNumberFormat="1" applyFont="1" applyFill="1" applyBorder="1" applyAlignment="1">
      <alignment horizontal="center" vertical="center"/>
    </xf>
    <xf numFmtId="2" fontId="19" fillId="3" borderId="25" xfId="0" applyNumberFormat="1" applyFont="1" applyFill="1" applyBorder="1" applyAlignment="1">
      <alignment horizontal="center" vertical="center"/>
    </xf>
    <xf numFmtId="166" fontId="17" fillId="3" borderId="25" xfId="0" applyNumberFormat="1" applyFont="1" applyFill="1" applyBorder="1" applyAlignment="1">
      <alignment horizontal="right" vertical="center"/>
    </xf>
    <xf numFmtId="166" fontId="29" fillId="3" borderId="34" xfId="0" applyNumberFormat="1" applyFont="1" applyFill="1" applyBorder="1" applyAlignment="1">
      <alignment horizontal="right" vertical="center"/>
    </xf>
    <xf numFmtId="166" fontId="19" fillId="3" borderId="23" xfId="0" applyNumberFormat="1" applyFont="1" applyFill="1" applyBorder="1" applyAlignment="1">
      <alignment vertical="center"/>
    </xf>
    <xf numFmtId="167" fontId="17" fillId="3" borderId="23" xfId="0" applyNumberFormat="1" applyFont="1" applyFill="1" applyBorder="1" applyAlignment="1">
      <alignment vertical="center"/>
    </xf>
    <xf numFmtId="0" fontId="30" fillId="3" borderId="2" xfId="0" applyFont="1" applyFill="1" applyBorder="1" applyAlignment="1">
      <alignment vertical="center"/>
    </xf>
    <xf numFmtId="0" fontId="30" fillId="3" borderId="3" xfId="0" applyFont="1" applyFill="1" applyBorder="1" applyAlignment="1">
      <alignment vertical="center"/>
    </xf>
    <xf numFmtId="0" fontId="18" fillId="0" borderId="0" xfId="0" applyFont="1" applyFill="1" applyAlignment="1">
      <alignment horizontal="center"/>
    </xf>
    <xf numFmtId="0" fontId="18" fillId="0" borderId="0" xfId="0" applyFont="1" applyFill="1" applyAlignment="1">
      <alignment horizontal="left" vertical="center"/>
    </xf>
    <xf numFmtId="0" fontId="24" fillId="0" borderId="7" xfId="0" applyFont="1" applyFill="1" applyBorder="1" applyAlignment="1">
      <alignment horizontal="center" vertical="center"/>
    </xf>
    <xf numFmtId="0" fontId="24" fillId="2" borderId="7" xfId="0" applyFont="1" applyFill="1" applyBorder="1" applyAlignment="1">
      <alignment horizontal="center" vertical="center"/>
    </xf>
    <xf numFmtId="0" fontId="32" fillId="0" borderId="0" xfId="0" applyFont="1" applyFill="1" applyAlignment="1">
      <alignment horizontal="center" vertical="center"/>
    </xf>
    <xf numFmtId="0" fontId="32" fillId="0" borderId="0" xfId="0" applyFont="1" applyFill="1"/>
    <xf numFmtId="0" fontId="32" fillId="0" borderId="0" xfId="0" applyNumberFormat="1" applyFont="1" applyFill="1" applyAlignment="1">
      <alignment horizontal="center" vertical="center"/>
    </xf>
    <xf numFmtId="166" fontId="32" fillId="0" borderId="0" xfId="0" applyNumberFormat="1" applyFont="1" applyFill="1"/>
    <xf numFmtId="0" fontId="27" fillId="5" borderId="0" xfId="5" applyBorder="1" applyAlignment="1">
      <alignment horizontal="left"/>
    </xf>
    <xf numFmtId="0" fontId="0" fillId="0" borderId="0" xfId="0" applyFill="1" applyAlignment="1">
      <alignment horizontal="center"/>
    </xf>
    <xf numFmtId="0" fontId="21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0" fontId="19" fillId="3" borderId="5" xfId="0" applyFont="1" applyFill="1" applyBorder="1" applyAlignment="1">
      <alignment horizontal="center" vertical="center"/>
    </xf>
    <xf numFmtId="0" fontId="10" fillId="4" borderId="12" xfId="1" applyFont="1" applyFill="1" applyBorder="1" applyAlignment="1">
      <alignment horizontal="center"/>
    </xf>
    <xf numFmtId="0" fontId="10" fillId="4" borderId="13" xfId="1" applyFont="1" applyFill="1" applyBorder="1" applyAlignment="1">
      <alignment horizontal="center"/>
    </xf>
    <xf numFmtId="0" fontId="10" fillId="4" borderId="14" xfId="1" applyFont="1" applyFill="1" applyBorder="1" applyAlignment="1">
      <alignment horizontal="center"/>
    </xf>
    <xf numFmtId="0" fontId="17" fillId="3" borderId="5" xfId="0" applyFont="1" applyFill="1" applyBorder="1" applyAlignment="1">
      <alignment horizontal="center" vertical="center"/>
    </xf>
    <xf numFmtId="0" fontId="17" fillId="3" borderId="6" xfId="0" applyFont="1" applyFill="1" applyBorder="1" applyAlignment="1">
      <alignment horizontal="center" vertical="center"/>
    </xf>
    <xf numFmtId="165" fontId="13" fillId="2" borderId="0" xfId="0" applyNumberFormat="1" applyFont="1" applyFill="1" applyBorder="1" applyAlignment="1">
      <alignment horizontal="center" vertical="center"/>
    </xf>
    <xf numFmtId="165" fontId="13" fillId="2" borderId="8" xfId="0" applyNumberFormat="1" applyFont="1" applyFill="1" applyBorder="1" applyAlignment="1">
      <alignment horizontal="center" vertical="center"/>
    </xf>
    <xf numFmtId="0" fontId="14" fillId="2" borderId="8" xfId="0" applyFont="1" applyFill="1" applyBorder="1" applyAlignment="1">
      <alignment horizontal="center" vertical="center"/>
    </xf>
    <xf numFmtId="0" fontId="14" fillId="2" borderId="11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/>
    </xf>
    <xf numFmtId="0" fontId="3" fillId="4" borderId="5" xfId="0" applyFont="1" applyFill="1" applyBorder="1" applyAlignment="1">
      <alignment horizontal="center"/>
    </xf>
    <xf numFmtId="0" fontId="3" fillId="4" borderId="6" xfId="0" applyFont="1" applyFill="1" applyBorder="1" applyAlignment="1">
      <alignment horizontal="center"/>
    </xf>
    <xf numFmtId="0" fontId="10" fillId="4" borderId="4" xfId="1" applyFont="1" applyFill="1" applyBorder="1" applyAlignment="1">
      <alignment horizontal="center"/>
    </xf>
    <xf numFmtId="0" fontId="10" fillId="4" borderId="5" xfId="1" applyFont="1" applyFill="1" applyBorder="1" applyAlignment="1">
      <alignment horizontal="center"/>
    </xf>
    <xf numFmtId="0" fontId="10" fillId="4" borderId="6" xfId="1" applyFont="1" applyFill="1" applyBorder="1" applyAlignment="1">
      <alignment horizontal="center"/>
    </xf>
    <xf numFmtId="0" fontId="8" fillId="0" borderId="0" xfId="1" applyFont="1" applyFill="1" applyBorder="1" applyAlignment="1">
      <alignment horizontal="left"/>
    </xf>
    <xf numFmtId="0" fontId="8" fillId="0" borderId="8" xfId="1" applyFont="1" applyFill="1" applyBorder="1" applyAlignment="1">
      <alignment horizontal="left"/>
    </xf>
    <xf numFmtId="0" fontId="8" fillId="2" borderId="0" xfId="1" applyFont="1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8" xfId="0" applyBorder="1" applyAlignment="1">
      <alignment horizontal="left"/>
    </xf>
    <xf numFmtId="0" fontId="8" fillId="0" borderId="10" xfId="1" applyFont="1" applyFill="1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16" xfId="0" applyBorder="1" applyAlignment="1">
      <alignment horizontal="left"/>
    </xf>
    <xf numFmtId="0" fontId="8" fillId="0" borderId="18" xfId="1" applyFont="1" applyFill="1" applyBorder="1" applyAlignment="1">
      <alignment horizontal="left"/>
    </xf>
    <xf numFmtId="0" fontId="0" fillId="0" borderId="18" xfId="0" applyBorder="1" applyAlignment="1">
      <alignment horizontal="left"/>
    </xf>
    <xf numFmtId="0" fontId="0" fillId="0" borderId="19" xfId="0" applyBorder="1" applyAlignment="1">
      <alignment horizontal="left"/>
    </xf>
    <xf numFmtId="0" fontId="16" fillId="0" borderId="0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/>
    </xf>
    <xf numFmtId="165" fontId="16" fillId="0" borderId="1" xfId="0" applyNumberFormat="1" applyFont="1" applyFill="1" applyBorder="1" applyAlignment="1">
      <alignment horizontal="center" vertical="center"/>
    </xf>
    <xf numFmtId="0" fontId="11" fillId="0" borderId="0" xfId="0" applyNumberFormat="1" applyFont="1" applyFill="1" applyBorder="1" applyAlignment="1">
      <alignment horizontal="center" vertical="center"/>
    </xf>
    <xf numFmtId="0" fontId="20" fillId="0" borderId="0" xfId="0" applyNumberFormat="1" applyFont="1" applyFill="1" applyBorder="1" applyAlignment="1">
      <alignment horizontal="center" vertical="center"/>
    </xf>
  </cellXfs>
  <cellStyles count="6">
    <cellStyle name="Énfasis1" xfId="5" builtinId="29"/>
    <cellStyle name="Millares 2" xfId="2" xr:uid="{783445E6-0F0E-41B0-A962-355CF487364F}"/>
    <cellStyle name="Normal" xfId="0" builtinId="0"/>
    <cellStyle name="Normal 2" xfId="1" xr:uid="{F1E4ADD3-F3D6-4E72-97BF-76AC55324B9E}"/>
    <cellStyle name="Normal 3" xfId="4" xr:uid="{7C02D466-6D9D-4ED0-929E-A3A84D5FB2D1}"/>
    <cellStyle name="Normal 4" xfId="3" xr:uid="{C79B1DDC-15C6-49A4-AEAC-26572BB5FA54}"/>
  </cellStyles>
  <dxfs count="46">
    <dxf>
      <fill>
        <patternFill>
          <bgColor theme="4" tint="0.59996337778862885"/>
        </patternFill>
      </fill>
    </dxf>
    <dxf>
      <font>
        <strike/>
      </font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ont>
        <i val="0"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0.000"/>
      <fill>
        <patternFill patternType="none">
          <fgColor indexed="64"/>
          <bgColor auto="1"/>
        </patternFill>
      </fill>
    </dxf>
    <dxf>
      <font>
        <i val="0"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i val="0"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i val="0"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7" formatCode="0.000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166" formatCode="0.00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Calibri"/>
        <family val="2"/>
        <scheme val="minor"/>
      </font>
      <numFmt numFmtId="165" formatCode="0.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6" formatCode="0.00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thin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thin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165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thin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165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thin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165" formatCode="0.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thin">
          <color indexed="64"/>
        </top>
        <bottom style="hair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165" formatCode="0.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thin">
          <color indexed="64"/>
        </top>
        <bottom style="hair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0.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thin">
          <color indexed="64"/>
        </top>
        <bottom style="hair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0.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thin">
          <color indexed="64"/>
        </top>
        <bottom style="hair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0.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thin">
          <color indexed="64"/>
        </top>
        <bottom style="hair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165" formatCode="0.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thin">
          <color indexed="64"/>
        </top>
        <bottom style="hair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165" formatCode="0.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 style="hair">
          <color indexed="64"/>
        </right>
        <top style="thin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5" formatCode="0.0"/>
    </dxf>
    <dxf>
      <alignment horizontal="center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colors>
    <mruColors>
      <color rgb="FFB2B2B2"/>
      <color rgb="FF808080"/>
      <color rgb="FFE4E4E4"/>
      <color rgb="FFDDDD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101664</xdr:colOff>
      <xdr:row>0</xdr:row>
      <xdr:rowOff>1525</xdr:rowOff>
    </xdr:from>
    <xdr:to>
      <xdr:col>11</xdr:col>
      <xdr:colOff>165037</xdr:colOff>
      <xdr:row>4</xdr:row>
      <xdr:rowOff>103252</xdr:rowOff>
    </xdr:to>
    <xdr:pic>
      <xdr:nvPicPr>
        <xdr:cNvPr id="5" name="2 Image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02489" y="1525"/>
          <a:ext cx="1863598" cy="8256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121920</xdr:colOff>
          <xdr:row>12</xdr:row>
          <xdr:rowOff>38100</xdr:rowOff>
        </xdr:from>
        <xdr:to>
          <xdr:col>15</xdr:col>
          <xdr:colOff>60960</xdr:colOff>
          <xdr:row>14</xdr:row>
          <xdr:rowOff>114300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Planilla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121920</xdr:colOff>
          <xdr:row>14</xdr:row>
          <xdr:rowOff>167640</xdr:rowOff>
        </xdr:from>
        <xdr:to>
          <xdr:col>15</xdr:col>
          <xdr:colOff>30480</xdr:colOff>
          <xdr:row>17</xdr:row>
          <xdr:rowOff>45720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2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129540</xdr:colOff>
          <xdr:row>19</xdr:row>
          <xdr:rowOff>7620</xdr:rowOff>
        </xdr:from>
        <xdr:to>
          <xdr:col>15</xdr:col>
          <xdr:colOff>38100</xdr:colOff>
          <xdr:row>21</xdr:row>
          <xdr:rowOff>60960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2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Planilla y posiciones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152400</xdr:colOff>
          <xdr:row>22</xdr:row>
          <xdr:rowOff>53340</xdr:rowOff>
        </xdr:from>
        <xdr:to>
          <xdr:col>15</xdr:col>
          <xdr:colOff>53340</xdr:colOff>
          <xdr:row>24</xdr:row>
          <xdr:rowOff>114300</xdr:rowOff>
        </xdr:to>
        <xdr:sp macro="" textlink="">
          <xdr:nvSpPr>
            <xdr:cNvPr id="8205" name="Button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2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Inscripciones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101664</xdr:colOff>
      <xdr:row>0</xdr:row>
      <xdr:rowOff>0</xdr:rowOff>
    </xdr:from>
    <xdr:to>
      <xdr:col>18</xdr:col>
      <xdr:colOff>88837</xdr:colOff>
      <xdr:row>4</xdr:row>
      <xdr:rowOff>25813</xdr:rowOff>
    </xdr:to>
    <xdr:pic>
      <xdr:nvPicPr>
        <xdr:cNvPr id="4" name="2 Image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54714" y="0"/>
          <a:ext cx="1863598" cy="82591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1249800</xdr:colOff>
      <xdr:row>0</xdr:row>
      <xdr:rowOff>68659</xdr:rowOff>
    </xdr:from>
    <xdr:to>
      <xdr:col>6</xdr:col>
      <xdr:colOff>57150</xdr:colOff>
      <xdr:row>4</xdr:row>
      <xdr:rowOff>94536</xdr:rowOff>
    </xdr:to>
    <xdr:pic>
      <xdr:nvPicPr>
        <xdr:cNvPr id="2" name="2 Imagen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83500" y="68659"/>
          <a:ext cx="1979175" cy="829787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25DD71A-F040-4794-9072-F1D10B31AE40}" name="tblClubes" displayName="tblClubes" ref="A9:A14" totalsRowShown="0" headerRowDxfId="45" dataDxfId="44">
  <autoFilter ref="A9:A14" xr:uid="{825DD71A-F040-4794-9072-F1D10B31AE40}">
    <filterColumn colId="0" hiddenButton="1"/>
  </autoFilter>
  <tableColumns count="1">
    <tableColumn id="1" xr3:uid="{C134A1AF-B278-459D-A19F-5C723052FA29}" name="Clubes" dataDxfId="4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9BBD148-8392-4D43-A038-1851DB9C3EE9}" name="tblJueces" displayName="tblJueces" ref="D9:E27" totalsRowShown="0" headerRowDxfId="42">
  <autoFilter ref="D9:E27" xr:uid="{09BBD148-8392-4D43-A038-1851DB9C3EE9}">
    <filterColumn colId="0" hiddenButton="1"/>
    <filterColumn colId="1" hiddenButton="1"/>
  </autoFilter>
  <sortState xmlns:xlrd2="http://schemas.microsoft.com/office/spreadsheetml/2017/richdata2" ref="D10:D19">
    <sortCondition ref="D13:D21"/>
  </sortState>
  <tableColumns count="2">
    <tableColumn id="1" xr3:uid="{CCD8BCAC-C02F-4863-A078-61F2BA8FDCFB}" name="Jueces"/>
    <tableColumn id="2" xr3:uid="{560A90BD-806B-4F5C-8BFA-F2CCFFD53211}" name="Asignado" dataDxfId="41">
      <calculatedColumnFormula>COUNTIFS(JuecesPanel1,tblJueces[[#This Row],[Jueces]]) + COUNTIFS(JuecesPanel2,tblJueces[[#This Row],[Jueces]])</calculatedColumnFormula>
    </tableColumn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3883DEF-D164-4FDB-A33B-4BB5324D8EBD}" name="tblFiguras" displayName="tblFiguras" ref="I9:N25" totalsRowShown="0" headerRowDxfId="40">
  <autoFilter ref="I9:N25" xr:uid="{93883DEF-D164-4FDB-A33B-4BB5324D8EB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7" xr3:uid="{A85148B7-413B-4CBF-970E-D71A72A5D475}" name="Categoria"/>
    <tableColumn id="5" xr3:uid="{B00B802F-0288-4E6D-BBC5-B4515F657E01}" name="Grupo"/>
    <tableColumn id="1" xr3:uid="{B260882A-3EB2-43A8-B9DB-1183DA86B5A8}" name="Descripcion"/>
    <tableColumn id="2" xr3:uid="{DFAFBF6B-B657-48CB-A417-778A1DD640DB}" name="Nombre"/>
    <tableColumn id="3" xr3:uid="{71BEFF16-884D-4E52-8F14-805D4D60B103}" name="Cod"/>
    <tableColumn id="4" xr3:uid="{25FBB54D-1A26-492A-99BD-DAD1BE5F0AC0}" name="GD" dataDxfId="39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03D0E6B-111B-4A7D-8735-155AB4DBE671}" name="tblDeportistas" displayName="tblDeportistas" ref="B6:F29" totalsRowShown="0" headerRowDxfId="38" dataDxfId="37">
  <autoFilter ref="B6:F29" xr:uid="{203D0E6B-111B-4A7D-8735-155AB4DBE671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78E639A4-1712-42F8-93AF-9C6A73192B03}" name="O.A." dataDxfId="36"/>
    <tableColumn id="2" xr3:uid="{7D1547D8-14D5-48E5-8A0A-7899A987F23F}" name="Deportista" dataDxfId="35"/>
    <tableColumn id="3" xr3:uid="{42F52486-9B3E-4E70-BE7F-566B91C7D2DC}" name="Club" dataDxfId="34"/>
    <tableColumn id="4" xr3:uid="{D6B0B88C-E515-4D1E-9CD2-AB44950C0299}" name="Entrenadora" dataDxfId="33"/>
    <tableColumn id="5" xr3:uid="{7F96CF0E-AE07-43CD-BFC1-5F62082FE0EF}" name="Compite" dataDxfId="32"/>
  </tableColumns>
  <tableStyleInfo name="TableStyleLight18" showFirstColumn="1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8130C16-2F59-47FF-8623-BFF83EFF3AB9}" name="tblPlanilla" displayName="tblPlanilla" ref="B7:S54" totalsRowShown="0" headerRowDxfId="31" headerRowBorderDxfId="30">
  <autoFilter ref="B7:S54" xr:uid="{28130C16-2F59-47FF-8623-BFF83EFF3AB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</autoFilter>
  <tableColumns count="18">
    <tableColumn id="1" xr3:uid="{9525777B-CD60-4496-A20A-ADF8B2999791}" name="Orden" dataDxfId="29"/>
    <tableColumn id="2" xr3:uid="{6A9B43B3-7690-42DD-8B56-5023CD79BC0B}" name="Deportista" dataDxfId="28"/>
    <tableColumn id="3" xr3:uid="{BB24CAFE-41C6-440C-A141-57C170200652}" name="Club" dataDxfId="27"/>
    <tableColumn id="4" xr3:uid="{AAB30E8E-14B1-40AD-80CB-6210E1CF11BC}" name="Cód Fig." dataDxfId="26"/>
    <tableColumn id="5" xr3:uid="{240EF8B5-8464-482A-8369-B241BF4946BB}" name="1" dataDxfId="25"/>
    <tableColumn id="6" xr3:uid="{EFD31E2A-9C96-43D5-BB44-C62D47B2EB4D}" name="2" dataDxfId="24"/>
    <tableColumn id="7" xr3:uid="{2F922F07-F60D-451A-A68C-AF53A2C5D559}" name="3" dataDxfId="23"/>
    <tableColumn id="8" xr3:uid="{D9D16E44-A0E2-4AA1-BCEB-0CDCD7119696}" name="4" dataDxfId="22"/>
    <tableColumn id="9" xr3:uid="{17359727-B0B4-4300-B194-812671625F11}" name="5" dataDxfId="21"/>
    <tableColumn id="10" xr3:uid="{AA3E240D-FB39-4E73-A1BA-222A5AC06FF7}" name="6" dataDxfId="20"/>
    <tableColumn id="11" xr3:uid="{E449E7EC-E389-4EEC-B6F7-A8CE74A9511A}" name="7" dataDxfId="19"/>
    <tableColumn id="12" xr3:uid="{87DD6381-BE50-4A0C-8C1A-E375E972666F}" name="Máxima" dataDxfId="18"/>
    <tableColumn id="13" xr3:uid="{7EFA1071-B594-419F-8C61-18E5BA11F40D}" name="Minima" dataDxfId="17"/>
    <tableColumn id="14" xr3:uid="{DE9CB4F4-7241-4F3F-9DF3-19A476589936}" name="Prom." dataDxfId="16"/>
    <tableColumn id="15" xr3:uid="{B568B340-F0BC-4D8B-BBC2-00D39C750524}" name="Prom. X GD" dataDxfId="15"/>
    <tableColumn id="16" xr3:uid="{3EB618C8-7797-4BB4-A77A-C1083600C82D}" name="Penaliz" dataDxfId="14"/>
    <tableColumn id="17" xr3:uid="{055F88D1-984B-47A0-8AB1-AFB10C6464AA}" name="SUMA PARCIAL" dataDxfId="13"/>
    <tableColumn id="18" xr3:uid="{71B404F6-6BF4-4F79-8DD3-3937985D0384}" name="TOTAL" dataDxfId="12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9F95EC0-9012-437C-89D6-5A6643B574F3}" name="tblPosiciones" displayName="tblPosiciones" comment="Tabla con el encabezado de los puntajes finales" ref="A7:F30" totalsRowShown="0" headerRowDxfId="11" dataDxfId="10" dataCellStyle="Normal">
  <autoFilter ref="A7:F30" xr:uid="{30136820-2352-4251-A143-7C1AE27CD1A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sortState xmlns:xlrd2="http://schemas.microsoft.com/office/spreadsheetml/2017/richdata2" ref="A8:F30">
    <sortCondition descending="1" ref="E8:E30"/>
    <sortCondition ref="A8:A30"/>
  </sortState>
  <tableColumns count="6">
    <tableColumn id="1" xr3:uid="{A4A5F30A-00DE-4B30-8A75-02ED0FBE486C}" name="Orden Salida" dataDxfId="9" dataCellStyle="Normal"/>
    <tableColumn id="2" xr3:uid="{58FF4B53-F92C-4A37-872D-5C3DCD6E5525}" name="Deportista" dataDxfId="8" dataCellStyle="Normal"/>
    <tableColumn id="3" xr3:uid="{262C7A2F-059D-4799-ADCE-92BBFF55086C}" name="Club" dataDxfId="7" dataCellStyle="Normal"/>
    <tableColumn id="4" xr3:uid="{F37C6805-7DD0-4C42-A169-252943A9696C}" name="Entrenadora" dataDxfId="6" dataCellStyle="Normal"/>
    <tableColumn id="5" xr3:uid="{0BF02DD1-8673-47C4-B737-91F1A10BCF07}" name="Puntaje Final" dataDxfId="5" dataCellStyle="Normal">
      <calculatedColumnFormula>_xlfn.XLOOKUP(tblPosiciones[[#This Row],[Deportista]],tblPlanilla[Deportista],tblPlanilla[TOTAL])</calculatedColumnFormula>
    </tableColumn>
    <tableColumn id="6" xr3:uid="{98BD4F22-3CDD-478E-9B42-AEC8B124FE61}" name="Posición Final" dataDxfId="4" dataCellStyle="Normal"/>
  </tableColumns>
  <tableStyleInfo name="TableStyleLight18" showFirstColumn="1" showLastColumn="1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CC3D8-AAF4-411B-A959-0786B16A02D6}">
  <sheetPr codeName="Hoja4">
    <pageSetUpPr fitToPage="1"/>
  </sheetPr>
  <dimension ref="A1:U35"/>
  <sheetViews>
    <sheetView showGridLines="0" workbookViewId="0">
      <selection activeCell="M12" sqref="M12"/>
    </sheetView>
  </sheetViews>
  <sheetFormatPr baseColWidth="10" defaultColWidth="0" defaultRowHeight="14.4" x14ac:dyDescent="0.3"/>
  <cols>
    <col min="1" max="1" width="27.5546875" customWidth="1"/>
    <col min="2" max="2" width="4.109375" customWidth="1"/>
    <col min="3" max="3" width="3.109375" customWidth="1"/>
    <col min="4" max="4" width="20.33203125" customWidth="1"/>
    <col min="5" max="5" width="20.33203125" hidden="1" customWidth="1"/>
    <col min="6" max="6" width="3.44140625" hidden="1" customWidth="1"/>
    <col min="7" max="7" width="17.5546875" hidden="1" customWidth="1"/>
    <col min="8" max="8" width="6" customWidth="1"/>
    <col min="9" max="9" width="9.44140625" bestFit="1" customWidth="1"/>
    <col min="10" max="10" width="6.5546875" bestFit="1" customWidth="1"/>
    <col min="11" max="11" width="11.33203125" bestFit="1" customWidth="1"/>
    <col min="12" max="12" width="28.33203125" bestFit="1" customWidth="1"/>
    <col min="13" max="13" width="5" customWidth="1"/>
    <col min="14" max="14" width="3.88671875" customWidth="1"/>
    <col min="15" max="15" width="3.33203125" customWidth="1"/>
    <col min="16" max="16" width="11" customWidth="1"/>
    <col min="17" max="17" width="28.33203125" bestFit="1" customWidth="1"/>
    <col min="18" max="19" width="4.6640625" customWidth="1"/>
    <col min="20" max="21" width="11.44140625" customWidth="1"/>
    <col min="22" max="16384" width="11.44140625" hidden="1"/>
  </cols>
  <sheetData>
    <row r="1" spans="1:19" ht="15.6" x14ac:dyDescent="0.3">
      <c r="A1" t="s">
        <v>120</v>
      </c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</row>
    <row r="2" spans="1:19" ht="15.6" x14ac:dyDescent="0.3"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</row>
    <row r="3" spans="1:19" ht="15.6" x14ac:dyDescent="0.3">
      <c r="A3" s="21" t="s">
        <v>48</v>
      </c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</row>
    <row r="4" spans="1:19" x14ac:dyDescent="0.3">
      <c r="A4" t="s">
        <v>14</v>
      </c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</row>
    <row r="5" spans="1:19" x14ac:dyDescent="0.3">
      <c r="A5" t="s">
        <v>114</v>
      </c>
      <c r="B5" s="20"/>
      <c r="C5" s="20"/>
      <c r="D5" s="20"/>
      <c r="E5" s="20"/>
      <c r="F5" s="20"/>
      <c r="G5" s="20"/>
      <c r="H5" s="20"/>
      <c r="I5" s="20"/>
      <c r="J5" s="20"/>
      <c r="K5" s="20"/>
      <c r="L5" s="71" t="s">
        <v>97</v>
      </c>
      <c r="M5" s="164" t="s">
        <v>96</v>
      </c>
      <c r="N5" s="164"/>
      <c r="O5" s="20"/>
      <c r="P5" s="20"/>
      <c r="Q5" s="20"/>
      <c r="R5" s="20"/>
      <c r="S5" s="20"/>
    </row>
    <row r="6" spans="1:19" x14ac:dyDescent="0.3">
      <c r="A6" t="str">
        <f>"Figuras - " &amp; TituloCategoria</f>
        <v>Figuras - Categoría Novatas 9-10</v>
      </c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</row>
    <row r="7" spans="1:19" x14ac:dyDescent="0.3">
      <c r="A7" t="s">
        <v>115</v>
      </c>
      <c r="B7" s="20"/>
      <c r="C7" s="20"/>
      <c r="D7" s="20"/>
      <c r="E7" s="20"/>
      <c r="F7" s="20"/>
      <c r="G7" s="20"/>
      <c r="H7" s="20"/>
      <c r="I7" s="20"/>
      <c r="J7" s="20"/>
      <c r="K7" s="20"/>
      <c r="L7" s="70"/>
      <c r="M7" s="71" t="s">
        <v>93</v>
      </c>
      <c r="N7" s="70">
        <v>1</v>
      </c>
      <c r="O7" s="20"/>
      <c r="P7" s="20"/>
      <c r="Q7" s="20"/>
      <c r="R7" s="20"/>
      <c r="S7" s="20"/>
    </row>
    <row r="8" spans="1:19" x14ac:dyDescent="0.3">
      <c r="B8" s="18"/>
      <c r="C8" s="18"/>
      <c r="D8" s="18"/>
      <c r="E8" s="18"/>
      <c r="F8" s="18"/>
      <c r="G8" s="18"/>
      <c r="H8" s="18"/>
      <c r="I8" s="18"/>
      <c r="J8" s="18"/>
      <c r="K8" s="18"/>
      <c r="O8" s="18"/>
      <c r="P8" s="73" t="str">
        <f>"Figuras "&amp;$M$5&amp;" a calificar"</f>
        <v>Figuras Infantil a calificar</v>
      </c>
    </row>
    <row r="9" spans="1:19" ht="15" thickBot="1" x14ac:dyDescent="0.35">
      <c r="A9" s="18" t="s">
        <v>12</v>
      </c>
      <c r="D9" s="14" t="s">
        <v>43</v>
      </c>
      <c r="E9" s="14" t="s">
        <v>80</v>
      </c>
      <c r="G9" s="66" t="s">
        <v>82</v>
      </c>
      <c r="I9" s="14" t="s">
        <v>95</v>
      </c>
      <c r="J9" s="14" t="s">
        <v>88</v>
      </c>
      <c r="K9" s="14" t="s">
        <v>90</v>
      </c>
      <c r="L9" s="14" t="s">
        <v>81</v>
      </c>
      <c r="M9" s="14" t="s">
        <v>87</v>
      </c>
      <c r="N9" s="14" t="s">
        <v>9</v>
      </c>
      <c r="P9" s="74" t="s">
        <v>77</v>
      </c>
      <c r="Q9" s="74" t="s">
        <v>81</v>
      </c>
      <c r="R9" s="74" t="s">
        <v>87</v>
      </c>
      <c r="S9" s="75" t="s">
        <v>9</v>
      </c>
    </row>
    <row r="10" spans="1:19" ht="15" thickTop="1" x14ac:dyDescent="0.3">
      <c r="A10" s="7" t="s">
        <v>61</v>
      </c>
      <c r="D10" t="s">
        <v>51</v>
      </c>
      <c r="E10">
        <f>COUNTIFS(JuecesPanel1,tblJueces[[#This Row],[Jueces]]) + COUNTIFS(JuecesPanel2,tblJueces[[#This Row],[Jueces]])</f>
        <v>0</v>
      </c>
      <c r="G10" t="str" cm="1">
        <f t="array" ref="G10:G27">_xlfn._xlws.FILTER(tblJueces[Jueces],tblJueces[Asignado]=0,"N.A:")</f>
        <v>Ana M. Lopera</v>
      </c>
      <c r="I10" t="s">
        <v>96</v>
      </c>
      <c r="J10">
        <v>0</v>
      </c>
      <c r="K10" t="s">
        <v>92</v>
      </c>
      <c r="L10" s="7" t="s">
        <v>121</v>
      </c>
      <c r="M10" s="7">
        <v>1</v>
      </c>
      <c r="N10" s="67">
        <v>1.6</v>
      </c>
      <c r="P10" t="str" cm="1">
        <f t="array" ref="P10:S11">_xlfn._xlws.FILTER(tblFiguras[[Descripcion]:[GD]],(tblFiguras[Grupo]=0)*(tblFiguras[Categoria]=$M$5),"N.A.")</f>
        <v>Obl. 1</v>
      </c>
      <c r="Q10" t="str">
        <v>Pierna Ballet estirada en el muro</v>
      </c>
      <c r="R10">
        <v>1</v>
      </c>
      <c r="S10">
        <v>1.6</v>
      </c>
    </row>
    <row r="11" spans="1:19" x14ac:dyDescent="0.3">
      <c r="A11" s="13" t="s">
        <v>37</v>
      </c>
      <c r="D11" t="s">
        <v>52</v>
      </c>
      <c r="E11">
        <f>COUNTIFS(JuecesPanel1,tblJueces[[#This Row],[Jueces]]) + COUNTIFS(JuecesPanel2,tblJueces[[#This Row],[Jueces]])</f>
        <v>0</v>
      </c>
      <c r="G11" t="str">
        <v>Ana Sofia Molina</v>
      </c>
      <c r="I11" t="s">
        <v>96</v>
      </c>
      <c r="J11">
        <v>0</v>
      </c>
      <c r="K11" t="s">
        <v>91</v>
      </c>
      <c r="L11" s="7" t="s">
        <v>122</v>
      </c>
      <c r="M11" s="7">
        <v>2</v>
      </c>
      <c r="N11" s="67">
        <v>1.9</v>
      </c>
      <c r="P11" t="str">
        <v>Obl. 2</v>
      </c>
      <c r="Q11" t="str">
        <v>Ascensor</v>
      </c>
      <c r="R11">
        <v>2</v>
      </c>
      <c r="S11">
        <v>1.9</v>
      </c>
    </row>
    <row r="12" spans="1:19" x14ac:dyDescent="0.3">
      <c r="A12" s="13" t="s">
        <v>15</v>
      </c>
      <c r="D12" t="s">
        <v>111</v>
      </c>
      <c r="E12" s="15">
        <f>COUNTIFS(JuecesPanel1,tblJueces[[#This Row],[Jueces]]) + COUNTIFS(JuecesPanel2,tblJueces[[#This Row],[Jueces]])</f>
        <v>0</v>
      </c>
      <c r="G12" t="str">
        <v>Angela Gómez</v>
      </c>
      <c r="I12" t="s">
        <v>96</v>
      </c>
      <c r="J12">
        <v>1</v>
      </c>
      <c r="K12" t="s">
        <v>119</v>
      </c>
      <c r="L12" s="7" t="s">
        <v>119</v>
      </c>
      <c r="M12" s="7" t="s">
        <v>119</v>
      </c>
      <c r="N12" s="67" t="s">
        <v>119</v>
      </c>
      <c r="P12" t="str" cm="1">
        <f t="array" ref="P12:S13">_xlfn._xlws.FILTER(tblFiguras[[Descripcion]:[GD]],(tblFiguras[Grupo]=$N$7)*(tblFiguras[Categoria]=$M$5)," ")</f>
        <v xml:space="preserve"> </v>
      </c>
      <c r="Q12" t="str">
        <v xml:space="preserve"> </v>
      </c>
      <c r="R12" t="str">
        <v xml:space="preserve"> </v>
      </c>
      <c r="S12" t="str">
        <v xml:space="preserve"> </v>
      </c>
    </row>
    <row r="13" spans="1:19" x14ac:dyDescent="0.3">
      <c r="A13" s="13" t="s">
        <v>36</v>
      </c>
      <c r="D13" t="s">
        <v>53</v>
      </c>
      <c r="E13">
        <f>COUNTIFS(JuecesPanel1,tblJueces[[#This Row],[Jueces]]) + COUNTIFS(JuecesPanel2,tblJueces[[#This Row],[Jueces]])</f>
        <v>0</v>
      </c>
      <c r="G13" t="str">
        <v>Carolina Acevedo</v>
      </c>
      <c r="I13" t="s">
        <v>96</v>
      </c>
      <c r="J13">
        <v>1</v>
      </c>
      <c r="K13" t="s">
        <v>119</v>
      </c>
      <c r="L13" t="s">
        <v>119</v>
      </c>
      <c r="M13" t="s">
        <v>119</v>
      </c>
      <c r="N13" s="68" t="s">
        <v>119</v>
      </c>
      <c r="P13" t="str">
        <v xml:space="preserve"> </v>
      </c>
      <c r="Q13" t="str">
        <v xml:space="preserve"> </v>
      </c>
      <c r="R13" t="str">
        <v xml:space="preserve"> </v>
      </c>
      <c r="S13" t="str">
        <v xml:space="preserve"> </v>
      </c>
    </row>
    <row r="14" spans="1:19" x14ac:dyDescent="0.3">
      <c r="A14" s="13" t="s">
        <v>16</v>
      </c>
      <c r="D14" t="s">
        <v>44</v>
      </c>
      <c r="E14">
        <f>COUNTIFS(JuecesPanel1,tblJueces[[#This Row],[Jueces]]) + COUNTIFS(JuecesPanel2,tblJueces[[#This Row],[Jueces]])</f>
        <v>0</v>
      </c>
      <c r="G14" t="str">
        <v>Claudia Estrada</v>
      </c>
      <c r="I14" t="s">
        <v>96</v>
      </c>
      <c r="J14">
        <v>2</v>
      </c>
      <c r="K14" t="s">
        <v>83</v>
      </c>
      <c r="L14" t="s">
        <v>39</v>
      </c>
      <c r="M14">
        <v>311</v>
      </c>
      <c r="N14" s="68">
        <v>1.6</v>
      </c>
    </row>
    <row r="15" spans="1:19" x14ac:dyDescent="0.3">
      <c r="A15" s="13"/>
      <c r="D15" t="s">
        <v>45</v>
      </c>
      <c r="E15">
        <f>COUNTIFS(JuecesPanel1,tblJueces[[#This Row],[Jueces]]) + COUNTIFS(JuecesPanel2,tblJueces[[#This Row],[Jueces]])</f>
        <v>0</v>
      </c>
      <c r="G15" t="str">
        <v>Gabriela Salcedo</v>
      </c>
      <c r="I15" t="s">
        <v>96</v>
      </c>
      <c r="J15">
        <v>2</v>
      </c>
      <c r="K15" t="s">
        <v>86</v>
      </c>
      <c r="L15" t="s">
        <v>18</v>
      </c>
      <c r="M15">
        <v>401</v>
      </c>
      <c r="N15" s="68">
        <v>2</v>
      </c>
    </row>
    <row r="16" spans="1:19" x14ac:dyDescent="0.3">
      <c r="A16" s="13"/>
      <c r="D16" t="s">
        <v>54</v>
      </c>
      <c r="E16">
        <f>COUNTIFS(JuecesPanel1,tblJueces[[#This Row],[Jueces]]) + COUNTIFS(JuecesPanel2,tblJueces[[#This Row],[Jueces]])</f>
        <v>0</v>
      </c>
      <c r="G16" t="str">
        <v>Laura Velez Osorio</v>
      </c>
      <c r="I16" t="s">
        <v>96</v>
      </c>
      <c r="J16">
        <v>3</v>
      </c>
      <c r="K16" t="s">
        <v>84</v>
      </c>
      <c r="L16" t="s">
        <v>17</v>
      </c>
      <c r="M16">
        <v>226</v>
      </c>
      <c r="N16" s="68">
        <v>2.1</v>
      </c>
    </row>
    <row r="17" spans="1:19" x14ac:dyDescent="0.3">
      <c r="A17" s="13"/>
      <c r="D17" t="s">
        <v>46</v>
      </c>
      <c r="E17">
        <f>COUNTIFS(JuecesPanel1,tblJueces[[#This Row],[Jueces]]) + COUNTIFS(JuecesPanel2,tblJueces[[#This Row],[Jueces]])</f>
        <v>0</v>
      </c>
      <c r="G17" t="str">
        <v>Lia Manotas</v>
      </c>
      <c r="I17" t="s">
        <v>96</v>
      </c>
      <c r="J17">
        <v>3</v>
      </c>
      <c r="K17" t="s">
        <v>85</v>
      </c>
      <c r="L17" t="s">
        <v>19</v>
      </c>
      <c r="M17">
        <v>363</v>
      </c>
      <c r="N17" s="68">
        <v>1.5</v>
      </c>
    </row>
    <row r="18" spans="1:19" x14ac:dyDescent="0.3">
      <c r="C18" s="14"/>
      <c r="D18" t="s">
        <v>55</v>
      </c>
      <c r="E18">
        <f>COUNTIFS(JuecesPanel1,tblJueces[[#This Row],[Jueces]]) + COUNTIFS(JuecesPanel2,tblJueces[[#This Row],[Jueces]])</f>
        <v>0</v>
      </c>
      <c r="F18" s="66"/>
      <c r="G18" s="72" t="str">
        <v>Lina M. Navarro</v>
      </c>
      <c r="H18" s="66"/>
      <c r="I18" t="s">
        <v>98</v>
      </c>
      <c r="J18">
        <v>0</v>
      </c>
      <c r="K18" t="s">
        <v>92</v>
      </c>
      <c r="L18" s="7" t="s">
        <v>107</v>
      </c>
      <c r="M18" s="7">
        <v>423</v>
      </c>
      <c r="N18" s="67">
        <v>2.2000000000000002</v>
      </c>
      <c r="O18" s="66"/>
      <c r="P18" s="66"/>
      <c r="Q18" s="66"/>
      <c r="R18" s="66"/>
      <c r="S18" s="66"/>
    </row>
    <row r="19" spans="1:19" x14ac:dyDescent="0.3">
      <c r="D19" t="s">
        <v>56</v>
      </c>
      <c r="E19">
        <f>COUNTIFS(JuecesPanel1,tblJueces[[#This Row],[Jueces]]) + COUNTIFS(JuecesPanel2,tblJueces[[#This Row],[Jueces]])</f>
        <v>0</v>
      </c>
      <c r="G19" t="str">
        <v>Lina M. Zapata</v>
      </c>
      <c r="I19" t="s">
        <v>98</v>
      </c>
      <c r="J19">
        <v>0</v>
      </c>
      <c r="K19" t="s">
        <v>91</v>
      </c>
      <c r="L19" s="7" t="s">
        <v>108</v>
      </c>
      <c r="M19" s="7">
        <v>143</v>
      </c>
      <c r="N19" s="67">
        <v>3.1</v>
      </c>
    </row>
    <row r="20" spans="1:19" x14ac:dyDescent="0.3">
      <c r="D20" t="s">
        <v>57</v>
      </c>
      <c r="E20">
        <f>COUNTIFS(JuecesPanel1,tblJueces[[#This Row],[Jueces]]) + COUNTIFS(JuecesPanel2,tblJueces[[#This Row],[Jueces]])</f>
        <v>0</v>
      </c>
      <c r="G20" t="str">
        <v>Maria C. Palacios</v>
      </c>
      <c r="I20" t="s">
        <v>98</v>
      </c>
      <c r="J20">
        <v>1</v>
      </c>
      <c r="K20" t="s">
        <v>75</v>
      </c>
      <c r="L20" s="7" t="s">
        <v>99</v>
      </c>
      <c r="M20" s="7">
        <v>351</v>
      </c>
      <c r="N20" s="67">
        <v>2.8</v>
      </c>
    </row>
    <row r="21" spans="1:19" x14ac:dyDescent="0.3">
      <c r="D21" t="s">
        <v>58</v>
      </c>
      <c r="E21">
        <f>COUNTIFS(JuecesPanel1,tblJueces[[#This Row],[Jueces]]) + COUNTIFS(JuecesPanel2,tblJueces[[#This Row],[Jueces]])</f>
        <v>0</v>
      </c>
      <c r="G21" t="str">
        <v>Maria F. Vasquez</v>
      </c>
      <c r="I21" t="s">
        <v>98</v>
      </c>
      <c r="J21">
        <v>1</v>
      </c>
      <c r="K21" t="s">
        <v>76</v>
      </c>
      <c r="L21" s="7" t="s">
        <v>104</v>
      </c>
      <c r="M21" s="7">
        <v>437</v>
      </c>
      <c r="N21" s="67">
        <v>2.1</v>
      </c>
    </row>
    <row r="22" spans="1:19" x14ac:dyDescent="0.3">
      <c r="D22" t="s">
        <v>59</v>
      </c>
      <c r="E22">
        <f>COUNTIFS(JuecesPanel1,tblJueces[[#This Row],[Jueces]]) + COUNTIFS(JuecesPanel2,tblJueces[[#This Row],[Jueces]])</f>
        <v>0</v>
      </c>
      <c r="G22" t="str">
        <v>Mery Gómez</v>
      </c>
      <c r="I22" t="s">
        <v>98</v>
      </c>
      <c r="J22">
        <v>2</v>
      </c>
      <c r="K22" t="s">
        <v>83</v>
      </c>
      <c r="L22" s="7" t="s">
        <v>100</v>
      </c>
      <c r="M22" s="7" t="s">
        <v>101</v>
      </c>
      <c r="N22" s="67">
        <v>2.2000000000000002</v>
      </c>
    </row>
    <row r="23" spans="1:19" x14ac:dyDescent="0.3">
      <c r="D23" t="s">
        <v>47</v>
      </c>
      <c r="E23">
        <f>COUNTIFS(JuecesPanel1,tblJueces[[#This Row],[Jueces]]) + COUNTIFS(JuecesPanel2,tblJueces[[#This Row],[Jueces]])</f>
        <v>0</v>
      </c>
      <c r="G23" t="str">
        <v>Oscar Sierra</v>
      </c>
      <c r="I23" t="s">
        <v>98</v>
      </c>
      <c r="J23">
        <v>2</v>
      </c>
      <c r="K23" t="s">
        <v>86</v>
      </c>
      <c r="L23" s="7" t="s">
        <v>105</v>
      </c>
      <c r="M23" s="7">
        <v>403</v>
      </c>
      <c r="N23" s="67">
        <v>2.2999999999999998</v>
      </c>
    </row>
    <row r="24" spans="1:19" x14ac:dyDescent="0.3">
      <c r="D24" t="s">
        <v>60</v>
      </c>
      <c r="E24">
        <f>COUNTIFS(JuecesPanel1,tblJueces[[#This Row],[Jueces]]) + COUNTIFS(JuecesPanel2,tblJueces[[#This Row],[Jueces]])</f>
        <v>0</v>
      </c>
      <c r="G24" t="str">
        <v>Sarita Percy V.</v>
      </c>
      <c r="I24" t="s">
        <v>98</v>
      </c>
      <c r="J24">
        <v>3</v>
      </c>
      <c r="K24" t="s">
        <v>84</v>
      </c>
      <c r="L24" s="7" t="s">
        <v>102</v>
      </c>
      <c r="M24" s="7" t="s">
        <v>103</v>
      </c>
      <c r="N24" s="67">
        <v>2.1</v>
      </c>
    </row>
    <row r="25" spans="1:19" x14ac:dyDescent="0.3">
      <c r="D25" t="s">
        <v>112</v>
      </c>
      <c r="E25" s="15">
        <f>COUNTIFS(JuecesPanel1,tblJueces[[#This Row],[Jueces]]) + COUNTIFS(JuecesPanel2,tblJueces[[#This Row],[Jueces]])</f>
        <v>0</v>
      </c>
      <c r="G25" t="str">
        <v>Valentina Barajas</v>
      </c>
      <c r="I25" t="s">
        <v>98</v>
      </c>
      <c r="J25">
        <v>3</v>
      </c>
      <c r="K25" t="s">
        <v>85</v>
      </c>
      <c r="L25" s="7" t="s">
        <v>106</v>
      </c>
      <c r="M25" s="7">
        <v>315</v>
      </c>
      <c r="N25" s="67">
        <v>2.1</v>
      </c>
    </row>
    <row r="26" spans="1:19" x14ac:dyDescent="0.3">
      <c r="D26" t="s">
        <v>50</v>
      </c>
      <c r="E26">
        <v>0</v>
      </c>
      <c r="G26" t="str">
        <v>Calculado</v>
      </c>
    </row>
    <row r="27" spans="1:19" x14ac:dyDescent="0.3">
      <c r="D27" t="s">
        <v>38</v>
      </c>
      <c r="E27">
        <v>0</v>
      </c>
      <c r="G27" t="str">
        <v>N.A.</v>
      </c>
    </row>
    <row r="28" spans="1:19" x14ac:dyDescent="0.3">
      <c r="I28" s="165"/>
      <c r="J28" s="165"/>
      <c r="K28" s="165"/>
      <c r="L28" s="165"/>
      <c r="M28" s="165"/>
      <c r="N28" s="165"/>
      <c r="O28" s="165"/>
      <c r="P28" s="165"/>
      <c r="Q28" s="165"/>
    </row>
    <row r="29" spans="1:19" x14ac:dyDescent="0.3">
      <c r="I29" s="13"/>
      <c r="J29" s="13"/>
      <c r="K29" s="103"/>
      <c r="L29" s="13"/>
      <c r="M29" s="13"/>
      <c r="N29" s="103"/>
      <c r="O29" s="13"/>
      <c r="P29" s="13"/>
      <c r="Q29" s="103"/>
    </row>
    <row r="30" spans="1:19" x14ac:dyDescent="0.3">
      <c r="I30" s="13"/>
      <c r="J30" s="13"/>
      <c r="K30" s="104"/>
      <c r="L30" s="13"/>
      <c r="M30" s="13"/>
      <c r="N30" s="103"/>
      <c r="O30" s="13"/>
      <c r="P30" s="13"/>
      <c r="Q30" s="103"/>
    </row>
    <row r="31" spans="1:19" x14ac:dyDescent="0.3">
      <c r="I31" s="13"/>
      <c r="J31" s="13"/>
      <c r="K31" s="13"/>
      <c r="L31" s="13"/>
      <c r="M31" s="13"/>
      <c r="N31" s="13"/>
      <c r="O31" s="13"/>
      <c r="P31" s="13"/>
      <c r="Q31" s="13"/>
    </row>
    <row r="32" spans="1:19" x14ac:dyDescent="0.3">
      <c r="I32" s="105"/>
      <c r="J32" s="13"/>
      <c r="K32" s="105"/>
      <c r="L32" s="106"/>
      <c r="M32" s="107"/>
      <c r="N32" s="13"/>
      <c r="O32" s="13"/>
      <c r="P32" s="13"/>
      <c r="Q32" s="13"/>
    </row>
    <row r="33" spans="3:19" x14ac:dyDescent="0.3">
      <c r="C33" s="15"/>
      <c r="F33" s="15"/>
      <c r="G33" s="15"/>
      <c r="H33" s="15"/>
      <c r="I33" s="105"/>
      <c r="J33" s="13"/>
      <c r="K33" s="105"/>
      <c r="L33" s="106"/>
      <c r="M33" s="107"/>
      <c r="N33" s="13"/>
      <c r="O33" s="108"/>
      <c r="P33" s="108"/>
      <c r="Q33" s="108"/>
      <c r="R33" s="15"/>
      <c r="S33" s="15"/>
    </row>
    <row r="35" spans="3:19" x14ac:dyDescent="0.3">
      <c r="D35" s="15"/>
      <c r="E35" s="15"/>
      <c r="J35" s="15"/>
      <c r="K35" s="15"/>
      <c r="L35" s="15"/>
      <c r="M35" s="15"/>
      <c r="N35" s="15"/>
    </row>
  </sheetData>
  <mergeCells count="4">
    <mergeCell ref="M5:N5"/>
    <mergeCell ref="I28:K28"/>
    <mergeCell ref="L28:N28"/>
    <mergeCell ref="O28:Q28"/>
  </mergeCells>
  <phoneticPr fontId="25" type="noConversion"/>
  <dataValidations count="2">
    <dataValidation type="list" allowBlank="1" showInputMessage="1" showErrorMessage="1" sqref="M5" xr:uid="{16D62DCE-FA0C-4BBD-8760-05DAF68DFAF7}">
      <formula1>"Infantil,Juvenil"</formula1>
    </dataValidation>
    <dataValidation type="list" allowBlank="1" showInputMessage="1" showErrorMessage="1" sqref="N7" xr:uid="{4035B76A-4BD0-41A4-A4E0-1D1665419055}">
      <formula1>"1,2,3"</formula1>
    </dataValidation>
  </dataValidations>
  <pageMargins left="0.7" right="0.7" top="0.75" bottom="0.75" header="0.3" footer="0.3"/>
  <pageSetup paperSize="9" scale="74" fitToHeight="0" orientation="portrait"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/>
  <dimension ref="A1:T37"/>
  <sheetViews>
    <sheetView workbookViewId="0">
      <selection activeCell="A18" sqref="A18"/>
    </sheetView>
  </sheetViews>
  <sheetFormatPr baseColWidth="10" defaultColWidth="0" defaultRowHeight="14.4" zeroHeight="1" x14ac:dyDescent="0.3"/>
  <cols>
    <col min="1" max="1" width="8.109375" customWidth="1"/>
    <col min="2" max="2" width="7" customWidth="1"/>
    <col min="3" max="3" width="36" customWidth="1"/>
    <col min="4" max="4" width="27.109375" customWidth="1"/>
    <col min="5" max="5" width="6.44140625" customWidth="1"/>
    <col min="6" max="12" width="4.6640625" customWidth="1"/>
    <col min="13" max="14" width="4.6640625" hidden="1" customWidth="1"/>
    <col min="15" max="15" width="5.44140625" hidden="1" customWidth="1"/>
    <col min="16" max="16" width="8.88671875" hidden="1" customWidth="1"/>
    <col min="17" max="17" width="3.6640625" customWidth="1"/>
    <col min="18" max="18" width="7.109375" hidden="1" customWidth="1"/>
    <col min="19" max="19" width="9" customWidth="1"/>
    <col min="20" max="20" width="11.44140625" customWidth="1"/>
    <col min="21" max="16384" width="11.44140625" hidden="1"/>
  </cols>
  <sheetData>
    <row r="1" spans="2:19" x14ac:dyDescent="0.3"/>
    <row r="2" spans="2:19" ht="41.4" x14ac:dyDescent="0.3">
      <c r="B2" s="76" t="s">
        <v>73</v>
      </c>
      <c r="C2" s="76" t="s">
        <v>13</v>
      </c>
      <c r="D2" s="76" t="s">
        <v>0</v>
      </c>
      <c r="E2" s="76" t="s">
        <v>28</v>
      </c>
      <c r="F2" s="121">
        <v>1</v>
      </c>
      <c r="G2" s="121">
        <v>2</v>
      </c>
      <c r="H2" s="121">
        <v>3</v>
      </c>
      <c r="I2" s="121">
        <v>4</v>
      </c>
      <c r="J2" s="121">
        <v>5</v>
      </c>
      <c r="K2" s="121">
        <v>6</v>
      </c>
      <c r="L2" s="121">
        <v>7</v>
      </c>
      <c r="M2" s="78" t="s">
        <v>1</v>
      </c>
      <c r="N2" s="78" t="s">
        <v>2</v>
      </c>
      <c r="O2" s="79" t="s">
        <v>72</v>
      </c>
      <c r="P2" s="80" t="s">
        <v>71</v>
      </c>
      <c r="Q2" s="78" t="s">
        <v>8</v>
      </c>
      <c r="R2" s="81" t="s">
        <v>3</v>
      </c>
      <c r="S2" s="82" t="s">
        <v>4</v>
      </c>
    </row>
    <row r="3" spans="2:19" x14ac:dyDescent="0.3"/>
    <row r="4" spans="2:19" x14ac:dyDescent="0.3">
      <c r="B4" s="25"/>
      <c r="C4" s="25" t="s">
        <v>94</v>
      </c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</row>
    <row r="5" spans="2:19" x14ac:dyDescent="0.3">
      <c r="B5" s="83" t="s">
        <v>5</v>
      </c>
      <c r="C5" s="90" t="s">
        <v>6</v>
      </c>
      <c r="D5" s="89" t="s">
        <v>7</v>
      </c>
      <c r="E5" s="76">
        <f>Obligatoria1Cod</f>
        <v>1</v>
      </c>
      <c r="F5" s="97"/>
      <c r="G5" s="85"/>
      <c r="H5" s="85" t="str">
        <f>IF(JuecesPanel&gt;=3,"",IF((JuecesPanel+JuecesCalc)&lt;3,"",IF(COUNT(F5:G5)&gt;0,AVERAGE(F5:G5),"")))</f>
        <v/>
      </c>
      <c r="I5" s="85" t="str">
        <f>IF(JuecesPanel&gt;=4,"",IF((JuecesPanel+JuecesCalc)&lt;4,"",IF(COUNT(F5:H5)&gt;0,AVERAGE(F5:H5),"")))</f>
        <v/>
      </c>
      <c r="J5" s="85" t="str">
        <f>IF(JuecesPanel&gt;=5,"",IF((JuecesPanel+JuecesCalc)&lt;5,"",IF(COUNT(F5:I5)&gt;0,AVERAGE(F5:I5),"")))</f>
        <v/>
      </c>
      <c r="K5" s="85" t="str">
        <f>IF(JuecesPanel&gt;=6,"",IF((JuecesPanel+JuecesCalc)&lt;6,"",IF(COUNT(F5:J5)&gt;0,AVERAGE(F5:J5),"")))</f>
        <v/>
      </c>
      <c r="L5" s="85" t="str">
        <f>IF(JuecesPanel&gt;=7,"",IF((JuecesPanel+JuecesCalc)&lt;7,"",IF(COUNT(F5:K5)&gt;0,AVERAGE(F5:K5),"")))</f>
        <v/>
      </c>
      <c r="M5" s="84" t="str">
        <f>IF(COUNT(F5:L5)&gt;4,MAX(F5:L5),"")</f>
        <v/>
      </c>
      <c r="N5" s="84" t="str">
        <f>IF(COUNT(F5:L5)&gt;4,MIN(F5:L5),"")</f>
        <v/>
      </c>
      <c r="O5" s="91" t="str">
        <f>IF(COUNT(F5:L5)&gt;0,(SUM(F5:L5)-( SUM(M5:N5)  ))/(IF(COUNT(F5:L5)&gt;4,COUNT(F5:L5)-2,COUNT(F5:L5))),"")</f>
        <v/>
      </c>
      <c r="P5" s="122" t="str">
        <f>IF(COUNT(F5:L5)&gt;0,O5*Obligatoria1GD,"")</f>
        <v/>
      </c>
      <c r="Q5" s="126"/>
      <c r="R5" s="124" t="str">
        <f>IF(COUNT(F5:L6)&gt;0,SUM(P5:P6),"")</f>
        <v/>
      </c>
      <c r="S5" s="92">
        <f>IF(COUNT(F5:L6)&gt;0,((R5/TotalGD)*10)-SUM(Q5:Q6),0)</f>
        <v>0</v>
      </c>
    </row>
    <row r="6" spans="2:19" x14ac:dyDescent="0.3">
      <c r="B6" s="93"/>
      <c r="C6" s="94"/>
      <c r="D6" s="93"/>
      <c r="E6" s="76">
        <f>Obligatoria2Cod</f>
        <v>2</v>
      </c>
      <c r="F6" s="88"/>
      <c r="G6" s="86"/>
      <c r="H6" s="86" t="str">
        <f>IF(JuecesPanel&gt;=3,"",IF((JuecesPanel+JuecesCalc)&lt;3,"",IF(COUNT(F6:G6)&gt;0,AVERAGE(F6:G6),"")))</f>
        <v/>
      </c>
      <c r="I6" s="86" t="str">
        <f>IF(JuecesPanel&gt;=4,"",IF((JuecesPanel+JuecesCalc)&lt;4,"",IF(COUNT(F6:H6)&gt;0,AVERAGE(F6:H6),"")))</f>
        <v/>
      </c>
      <c r="J6" s="86" t="str">
        <f>IF(JuecesPanel&gt;=5,"",IF((JuecesPanel+JuecesCalc)&lt;5,"",IF(COUNT(F6:I6)&gt;0,AVERAGE(F6:I6),"")))</f>
        <v/>
      </c>
      <c r="K6" s="86" t="str">
        <f>IF(JuecesPanel&gt;=6,"",IF((JuecesPanel+JuecesCalc)&lt;6,"",IF(COUNT(F6:J6)&gt;0,AVERAGE(F6:J6),"")))</f>
        <v/>
      </c>
      <c r="L6" s="86" t="str">
        <f>IF(JuecesPanel&gt;=7,"",IF((JuecesPanel+JuecesCalc)&lt;7,"",IF(COUNT(F6:K6)&gt;0,AVERAGE(F6:K6),"")))</f>
        <v/>
      </c>
      <c r="M6" s="86" t="str">
        <f>IF(COUNT(F6:L6)&gt;4,MAX(F6:L6),"")</f>
        <v/>
      </c>
      <c r="N6" s="86" t="str">
        <f>IF(COUNT(F6:L6)&gt;4,MIN(F6:L6),"")</f>
        <v/>
      </c>
      <c r="O6" s="95" t="str">
        <f>IF(COUNT(F6:L6)&gt;0,(SUM(F6:L6)-( SUM(M6:N6)  ))/(IF(COUNT(F6:L6)&gt;4,COUNT(F6:L6)-2,COUNT(F6:L6))),"")</f>
        <v/>
      </c>
      <c r="P6" s="123" t="str">
        <f>IF(COUNT(F6:L6)&gt;0,O6*Obligatoria2GD,"")</f>
        <v/>
      </c>
      <c r="Q6" s="127"/>
      <c r="R6" s="125"/>
      <c r="S6" s="96"/>
    </row>
    <row r="7" spans="2:19" x14ac:dyDescent="0.3">
      <c r="B7" s="25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</row>
    <row r="8" spans="2:19" x14ac:dyDescent="0.3"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</row>
    <row r="9" spans="2:19" x14ac:dyDescent="0.3">
      <c r="B9" s="13"/>
      <c r="C9" s="13" t="s">
        <v>78</v>
      </c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</row>
    <row r="10" spans="2:19" x14ac:dyDescent="0.3">
      <c r="B10" s="83" t="s">
        <v>5</v>
      </c>
      <c r="C10" s="90" t="s">
        <v>6</v>
      </c>
      <c r="D10" s="89" t="s">
        <v>7</v>
      </c>
      <c r="E10" s="76">
        <f>Obligatoria1Cod</f>
        <v>1</v>
      </c>
      <c r="F10" s="87"/>
      <c r="G10" s="84"/>
      <c r="H10" s="84" t="str">
        <f>IF(JuecesPanel&gt;=3,"",IF((JuecesPanel+JuecesCalc)&lt;3,"",IF(COUNT(F10:G10)&gt;0,AVERAGE(F10:G10),"")))</f>
        <v/>
      </c>
      <c r="I10" s="84" t="str">
        <f>IF(JuecesPanel&gt;=4,"",IF((JuecesPanel+JuecesCalc)&lt;4,"",IF(COUNT(F10:H10)&gt;0,AVERAGE(F10:H10),"")))</f>
        <v/>
      </c>
      <c r="J10" s="84" t="str">
        <f>IF(JuecesPanel&gt;=5,"",IF((JuecesPanel+JuecesCalc)&lt;5,"",IF(COUNT(F10:I10)&gt;0,AVERAGE(F10:I10),"")))</f>
        <v/>
      </c>
      <c r="K10" s="84" t="str">
        <f>IF(JuecesPanel&gt;=6,"",IF((JuecesPanel+JuecesCalc)&lt;6,"",IF(COUNT(F10:J10)&gt;0,AVERAGE(F10:J10),"")))</f>
        <v/>
      </c>
      <c r="L10" s="84" t="str">
        <f>IF(JuecesPanel&gt;=7,"",IF((JuecesPanel+JuecesCalc)&lt;7,"",IF(COUNT(F10:K10)&gt;0,AVERAGE(F10:K10),"")))</f>
        <v/>
      </c>
      <c r="M10" s="84" t="str">
        <f>IF(COUNT(F10:L10)&gt;4,MAX(F10:L10),"")</f>
        <v/>
      </c>
      <c r="N10" s="84" t="str">
        <f>IF(COUNT(F10:L10)&gt;4,MIN(F10:L10),"")</f>
        <v/>
      </c>
      <c r="O10" s="91" t="str">
        <f>IF(COUNT(F10:L10)&gt;0,(SUM(F10:L10)-( SUM(M10:N10)  ))/(IF(COUNT(F10:L10)&gt;4,COUNT(F10:L10)-2,COUNT(F10:L10))),"")</f>
        <v/>
      </c>
      <c r="P10" s="122" t="str">
        <f>IF(COUNT(F10:L10)&gt;0,O10*Obligatoria1GD,"")</f>
        <v/>
      </c>
      <c r="Q10" s="126"/>
      <c r="R10" s="124" t="str">
        <f>IF(COUNT(F10:L11)&gt;0,SUM(P10:P11),"")</f>
        <v/>
      </c>
      <c r="S10" s="92">
        <f>IF(COUNT(F10:L11)&gt;0,((R10/TotalGD)*10)-SUM(Q10:Q11),0)</f>
        <v>0</v>
      </c>
    </row>
    <row r="11" spans="2:19" x14ac:dyDescent="0.3">
      <c r="B11" s="93"/>
      <c r="C11" s="94"/>
      <c r="D11" s="93"/>
      <c r="E11" s="76">
        <f>Obligatoria2Cod</f>
        <v>2</v>
      </c>
      <c r="F11" s="88"/>
      <c r="G11" s="86"/>
      <c r="H11" s="86" t="str">
        <f>IF(JuecesPanel&gt;=3,"",IF((JuecesPanel+JuecesCalc)&lt;3,"",IF(COUNT(F11:G11)&gt;0,AVERAGE(F11:G11),"")))</f>
        <v/>
      </c>
      <c r="I11" s="86" t="str">
        <f>IF(JuecesPanel&gt;=4,"",IF((JuecesPanel+JuecesCalc)&lt;4,"",IF(COUNT(F11:H11)&gt;0,AVERAGE(F11:H11),"")))</f>
        <v/>
      </c>
      <c r="J11" s="86" t="str">
        <f>IF(JuecesPanel&gt;=5,"",IF((JuecesPanel+JuecesCalc)&lt;5,"",IF(COUNT(F11:I11)&gt;0,AVERAGE(F11:I11),"")))</f>
        <v/>
      </c>
      <c r="K11" s="86" t="str">
        <f>IF(JuecesPanel&gt;=6,"",IF((JuecesPanel+JuecesCalc)&lt;6,"",IF(COUNT(F11:J11)&gt;0,AVERAGE(F11:J11),"")))</f>
        <v/>
      </c>
      <c r="L11" s="86" t="str">
        <f>IF(JuecesPanel&gt;=7,"",IF((JuecesPanel+JuecesCalc)&lt;7,"",IF(COUNT(F11:K11)&gt;0,AVERAGE(F11:K11),"")))</f>
        <v/>
      </c>
      <c r="M11" s="86" t="str">
        <f>IF(COUNT(F11:L11)&gt;4,MAX(F11:L11),"")</f>
        <v/>
      </c>
      <c r="N11" s="86" t="str">
        <f>IF(COUNT(F11:L11)&gt;4,MIN(F11:L11),"")</f>
        <v/>
      </c>
      <c r="O11" s="95" t="str">
        <f>IF(COUNT(F11:L11)&gt;0,(SUM(F11:L11)-( SUM(M11:N11)  ))/(IF(COUNT(F11:L11)&gt;4,COUNT(F11:L11)-2,COUNT(F11:L11))),"")</f>
        <v/>
      </c>
      <c r="P11" s="123" t="str">
        <f>IF(COUNT(F11:L11)&gt;0,O11*Obligatoria2GD,"")</f>
        <v/>
      </c>
      <c r="Q11" s="127"/>
      <c r="R11" s="125"/>
      <c r="S11" s="96"/>
    </row>
    <row r="12" spans="2:19" x14ac:dyDescent="0.3"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2:19" x14ac:dyDescent="0.3"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2:19" x14ac:dyDescent="0.3">
      <c r="B14" s="25"/>
      <c r="C14" s="25" t="s">
        <v>79</v>
      </c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2:19" x14ac:dyDescent="0.3">
      <c r="B15" s="128" t="s">
        <v>5</v>
      </c>
      <c r="C15" s="154" t="s">
        <v>6</v>
      </c>
      <c r="D15" s="155" t="s">
        <v>7</v>
      </c>
      <c r="E15" s="129" t="s">
        <v>109</v>
      </c>
      <c r="F15" s="130" t="s">
        <v>109</v>
      </c>
      <c r="G15" s="131" t="s">
        <v>109</v>
      </c>
      <c r="H15" s="131" t="s">
        <v>109</v>
      </c>
      <c r="I15" s="131" t="s">
        <v>109</v>
      </c>
      <c r="J15" s="131" t="s">
        <v>109</v>
      </c>
      <c r="K15" s="131" t="s">
        <v>109</v>
      </c>
      <c r="L15" s="132" t="s">
        <v>109</v>
      </c>
      <c r="M15" s="133" t="str">
        <f>IF(COUNT(F15:L15)&gt;4,MAX(F15:L15),"")</f>
        <v/>
      </c>
      <c r="N15" s="134" t="str">
        <f>IF(COUNT(F15:L15)&gt;4,MIN(F15:L15),"")</f>
        <v/>
      </c>
      <c r="O15" s="135" t="str">
        <f>IF(COUNT(F15:L15)&gt;0,(SUM(F15:L15)-( SUM(M15:N15)  ))/(IF(COUNT(F15:L15)&gt;4,COUNT(F15:L15)-2,COUNT(F15:L15))),"")</f>
        <v/>
      </c>
      <c r="P15" s="136" t="str">
        <f>IF(COUNT(F15:L15)&gt;0,O15*Obligatoria1GD,"")</f>
        <v/>
      </c>
      <c r="Q15" s="137"/>
      <c r="R15" s="138" t="str">
        <f>IF(COUNT(F15:L16)&gt;0,SUM(P15:P16),"")</f>
        <v/>
      </c>
      <c r="S15" s="139"/>
    </row>
    <row r="16" spans="2:19" x14ac:dyDescent="0.3">
      <c r="B16" s="141"/>
      <c r="C16" s="142"/>
      <c r="D16" s="143"/>
      <c r="E16" s="140" t="s">
        <v>109</v>
      </c>
      <c r="F16" s="144" t="s">
        <v>109</v>
      </c>
      <c r="G16" s="145" t="s">
        <v>109</v>
      </c>
      <c r="H16" s="145" t="s">
        <v>109</v>
      </c>
      <c r="I16" s="145" t="s">
        <v>109</v>
      </c>
      <c r="J16" s="145" t="s">
        <v>109</v>
      </c>
      <c r="K16" s="145" t="s">
        <v>109</v>
      </c>
      <c r="L16" s="146" t="s">
        <v>109</v>
      </c>
      <c r="M16" s="147" t="str">
        <f>IF(COUNT(F16:L16)&gt;4,MAX(F16:L16),"")</f>
        <v/>
      </c>
      <c r="N16" s="148" t="str">
        <f>IF(COUNT(F16:L16)&gt;4,MIN(F16:L16),"")</f>
        <v/>
      </c>
      <c r="O16" s="149" t="str">
        <f>IF(COUNT(F16:L16)&gt;0,(SUM(F16:L16)-( SUM(M16:N16)  ))/(IF(COUNT(F16:L16)&gt;4,COUNT(F16:L16)-2,COUNT(F16:L16))),"")</f>
        <v/>
      </c>
      <c r="P16" s="150" t="str">
        <f>IF(COUNT(F16:L16)&gt;0,O16*Opcional2GD,"")</f>
        <v/>
      </c>
      <c r="Q16" s="151"/>
      <c r="R16" s="152"/>
      <c r="S16" s="153"/>
    </row>
    <row r="17" spans="3:3" x14ac:dyDescent="0.3"/>
    <row r="18" spans="3:3" x14ac:dyDescent="0.3"/>
    <row r="19" spans="3:3" x14ac:dyDescent="0.3"/>
    <row r="20" spans="3:3" x14ac:dyDescent="0.3">
      <c r="C20" s="13"/>
    </row>
    <row r="21" spans="3:3" x14ac:dyDescent="0.3"/>
    <row r="22" spans="3:3" x14ac:dyDescent="0.3"/>
    <row r="23" spans="3:3" x14ac:dyDescent="0.3"/>
    <row r="24" spans="3:3" x14ac:dyDescent="0.3"/>
    <row r="25" spans="3:3" x14ac:dyDescent="0.3"/>
    <row r="26" spans="3:3" x14ac:dyDescent="0.3"/>
    <row r="27" spans="3:3" x14ac:dyDescent="0.3"/>
    <row r="28" spans="3:3" x14ac:dyDescent="0.3"/>
    <row r="29" spans="3:3" x14ac:dyDescent="0.3"/>
    <row r="30" spans="3:3" x14ac:dyDescent="0.3"/>
    <row r="31" spans="3:3" x14ac:dyDescent="0.3"/>
    <row r="32" spans="3:3" x14ac:dyDescent="0.3"/>
    <row r="33" x14ac:dyDescent="0.3"/>
    <row r="34" x14ac:dyDescent="0.3"/>
    <row r="35" x14ac:dyDescent="0.3"/>
    <row r="36" x14ac:dyDescent="0.3"/>
    <row r="37" x14ac:dyDescent="0.3"/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Z33"/>
  <sheetViews>
    <sheetView showGridLines="0" zoomScale="90" zoomScaleNormal="90" workbookViewId="0">
      <selection activeCell="Z1" sqref="Z1"/>
    </sheetView>
  </sheetViews>
  <sheetFormatPr baseColWidth="10" defaultColWidth="0" defaultRowHeight="14.4" x14ac:dyDescent="0.3"/>
  <cols>
    <col min="1" max="1" width="2.109375" customWidth="1"/>
    <col min="2" max="2" width="6.88671875" customWidth="1"/>
    <col min="3" max="3" width="27.88671875" bestFit="1" customWidth="1"/>
    <col min="4" max="4" width="24.109375" bestFit="1" customWidth="1"/>
    <col min="5" max="5" width="15.88671875" style="14" hidden="1" customWidth="1"/>
    <col min="6" max="6" width="7.6640625" bestFit="1" customWidth="1"/>
    <col min="7" max="7" width="2.33203125" customWidth="1"/>
    <col min="8" max="8" width="7.5546875" customWidth="1"/>
    <col min="9" max="9" width="9.33203125" customWidth="1"/>
    <col min="10" max="10" width="8.109375" customWidth="1"/>
    <col min="11" max="11" width="8.33203125" customWidth="1"/>
    <col min="12" max="12" width="4.5546875" customWidth="1"/>
    <col min="13" max="13" width="3.88671875" customWidth="1"/>
    <col min="14" max="14" width="5.6640625" customWidth="1"/>
    <col min="15" max="15" width="3" customWidth="1"/>
    <col min="16" max="16" width="2.5546875" customWidth="1"/>
    <col min="17" max="17" width="10" hidden="1" customWidth="1"/>
    <col min="18" max="18" width="9.88671875" hidden="1" customWidth="1"/>
    <col min="19" max="19" width="4" hidden="1" customWidth="1"/>
    <col min="20" max="20" width="4.5546875" hidden="1" customWidth="1"/>
    <col min="21" max="21" width="17.44140625" hidden="1" customWidth="1"/>
    <col min="22" max="22" width="4" hidden="1" customWidth="1"/>
    <col min="23" max="23" width="4.5546875" hidden="1" customWidth="1"/>
    <col min="24" max="24" width="15.88671875" hidden="1" customWidth="1"/>
    <col min="25" max="25" width="4" hidden="1" customWidth="1"/>
    <col min="26" max="26" width="4.5546875" hidden="1" customWidth="1"/>
    <col min="27" max="16384" width="11.44140625" hidden="1"/>
  </cols>
  <sheetData>
    <row r="1" spans="1:18" ht="6" customHeight="1" x14ac:dyDescent="0.3"/>
    <row r="2" spans="1:18" ht="18.75" customHeight="1" x14ac:dyDescent="0.45">
      <c r="B2" s="166" t="str">
        <f>HeadLin2</f>
        <v>Festival infantil departamental Fase I</v>
      </c>
      <c r="C2" s="166"/>
      <c r="D2" s="166"/>
      <c r="E2" s="166"/>
      <c r="F2" s="166"/>
      <c r="G2" s="100"/>
      <c r="H2" s="100"/>
      <c r="I2" s="100"/>
      <c r="J2" s="100"/>
      <c r="K2" s="100"/>
      <c r="L2" s="100"/>
      <c r="M2" s="100"/>
      <c r="N2" s="100"/>
      <c r="O2" s="9"/>
    </row>
    <row r="3" spans="1:18" ht="17.25" customHeight="1" x14ac:dyDescent="0.45">
      <c r="B3" s="167" t="str">
        <f>HeadLin3</f>
        <v>Figuras - Categoría Novatas 9-10</v>
      </c>
      <c r="C3" s="167"/>
      <c r="D3" s="167"/>
      <c r="E3" s="167"/>
      <c r="F3" s="167"/>
      <c r="G3" s="101"/>
      <c r="H3" s="101"/>
      <c r="I3" s="101"/>
      <c r="J3" s="101"/>
      <c r="K3" s="101"/>
      <c r="L3" s="101"/>
      <c r="M3" s="101"/>
      <c r="N3" s="101"/>
      <c r="O3" s="10"/>
    </row>
    <row r="4" spans="1:18" ht="15" customHeight="1" x14ac:dyDescent="0.45">
      <c r="B4" s="5"/>
      <c r="C4" s="5"/>
      <c r="D4" s="5"/>
      <c r="E4" s="16"/>
      <c r="F4" s="5"/>
      <c r="G4" s="5"/>
      <c r="H4" s="5"/>
      <c r="I4" s="10"/>
      <c r="J4" s="5"/>
      <c r="K4" s="10"/>
      <c r="L4" s="5"/>
      <c r="M4" s="5"/>
      <c r="N4" s="5"/>
      <c r="O4" s="10"/>
    </row>
    <row r="5" spans="1:18" ht="17.25" customHeight="1" x14ac:dyDescent="0.45">
      <c r="B5" s="38" t="str">
        <f>"Total  inscripciones: " &amp; COUNTA(tblDeportistas[Deportista])</f>
        <v>Total  inscripciones: 23</v>
      </c>
      <c r="E5" s="17"/>
      <c r="F5" s="4"/>
      <c r="G5" s="4"/>
      <c r="H5" s="4"/>
      <c r="I5" s="4"/>
      <c r="J5" s="6"/>
      <c r="K5" s="6"/>
      <c r="L5" s="4"/>
      <c r="M5" s="4"/>
      <c r="N5" s="4"/>
      <c r="O5" s="4"/>
    </row>
    <row r="6" spans="1:18" x14ac:dyDescent="0.3">
      <c r="A6" s="22"/>
      <c r="B6" s="32" t="s">
        <v>35</v>
      </c>
      <c r="C6" s="33" t="s">
        <v>6</v>
      </c>
      <c r="D6" s="33" t="s">
        <v>7</v>
      </c>
      <c r="E6" s="33" t="s">
        <v>27</v>
      </c>
      <c r="F6" s="32" t="s">
        <v>42</v>
      </c>
      <c r="G6" s="22"/>
      <c r="H6" s="50" t="s">
        <v>28</v>
      </c>
      <c r="I6" s="168" t="s">
        <v>11</v>
      </c>
      <c r="J6" s="168"/>
      <c r="K6" s="168"/>
      <c r="L6" s="58" t="s">
        <v>89</v>
      </c>
      <c r="M6" s="58" t="s">
        <v>9</v>
      </c>
      <c r="N6" s="172" t="s">
        <v>10</v>
      </c>
      <c r="O6" s="173"/>
      <c r="P6" s="7"/>
      <c r="Q6" s="7"/>
    </row>
    <row r="7" spans="1:18" x14ac:dyDescent="0.3">
      <c r="B7" s="34">
        <v>1</v>
      </c>
      <c r="C7" s="35" t="s">
        <v>123</v>
      </c>
      <c r="D7" s="36" t="s">
        <v>116</v>
      </c>
      <c r="E7" s="37">
        <v>0</v>
      </c>
      <c r="F7" s="34">
        <v>0</v>
      </c>
      <c r="H7" s="158">
        <v>1</v>
      </c>
      <c r="I7" s="35" t="str">
        <f>Obligatoria1Nom</f>
        <v>Pierna Ballet estirada en el muro</v>
      </c>
      <c r="J7" s="42"/>
      <c r="K7" s="35"/>
      <c r="L7" s="37">
        <f>Obligatoria1Cod</f>
        <v>1</v>
      </c>
      <c r="M7" s="43">
        <f>Obligatoria1GD</f>
        <v>1.6</v>
      </c>
      <c r="N7" s="174">
        <f>SUM(M7:M10)</f>
        <v>3.5</v>
      </c>
      <c r="O7" s="175"/>
      <c r="P7" s="7"/>
      <c r="Q7" s="7"/>
    </row>
    <row r="8" spans="1:18" x14ac:dyDescent="0.3">
      <c r="B8" s="156">
        <v>2</v>
      </c>
      <c r="C8" s="25" t="s">
        <v>124</v>
      </c>
      <c r="D8" s="157" t="s">
        <v>116</v>
      </c>
      <c r="E8" s="28">
        <v>0</v>
      </c>
      <c r="F8" s="34">
        <v>0</v>
      </c>
      <c r="H8" s="159">
        <v>2</v>
      </c>
      <c r="I8" s="45" t="str">
        <f>Obligatoria2Nom</f>
        <v>Ascensor</v>
      </c>
      <c r="J8" s="45"/>
      <c r="K8" s="44"/>
      <c r="L8" s="109">
        <f>Obligatoria2Cod</f>
        <v>2</v>
      </c>
      <c r="M8" s="102">
        <f>Obligatoria2GD</f>
        <v>1.9</v>
      </c>
      <c r="N8" s="174"/>
      <c r="O8" s="175"/>
      <c r="P8" s="7"/>
      <c r="Q8" s="7"/>
    </row>
    <row r="9" spans="1:18" x14ac:dyDescent="0.3">
      <c r="B9" s="156">
        <v>3</v>
      </c>
      <c r="C9" s="25" t="s">
        <v>125</v>
      </c>
      <c r="D9" s="157" t="s">
        <v>118</v>
      </c>
      <c r="E9" s="28">
        <v>0</v>
      </c>
      <c r="F9" s="34">
        <v>0</v>
      </c>
      <c r="H9" s="7"/>
      <c r="I9" s="7"/>
      <c r="J9" s="7"/>
      <c r="K9" s="7"/>
      <c r="L9" s="7"/>
      <c r="M9" s="7"/>
      <c r="N9" s="7"/>
      <c r="O9" s="7"/>
      <c r="P9" s="7"/>
      <c r="Q9" s="7"/>
    </row>
    <row r="10" spans="1:18" x14ac:dyDescent="0.3">
      <c r="B10" s="156">
        <v>4</v>
      </c>
      <c r="C10" s="25" t="s">
        <v>126</v>
      </c>
      <c r="D10" s="157" t="s">
        <v>117</v>
      </c>
      <c r="E10" s="28">
        <v>0</v>
      </c>
      <c r="F10" s="34">
        <v>1</v>
      </c>
      <c r="H10" s="51"/>
      <c r="I10" s="65" t="s">
        <v>62</v>
      </c>
      <c r="J10" s="52" t="s">
        <v>110</v>
      </c>
      <c r="K10" s="52"/>
      <c r="L10" s="52"/>
      <c r="M10" s="52"/>
      <c r="N10" s="52"/>
      <c r="O10" s="53"/>
      <c r="P10" s="39"/>
      <c r="Q10" s="39"/>
      <c r="R10" s="40"/>
    </row>
    <row r="11" spans="1:18" x14ac:dyDescent="0.3">
      <c r="B11" s="156">
        <v>5</v>
      </c>
      <c r="C11" s="25" t="s">
        <v>127</v>
      </c>
      <c r="D11" s="157" t="s">
        <v>118</v>
      </c>
      <c r="E11" s="28">
        <v>0</v>
      </c>
      <c r="F11" s="34">
        <v>0</v>
      </c>
      <c r="H11" s="54"/>
      <c r="I11" s="69" t="s">
        <v>63</v>
      </c>
      <c r="J11" s="55"/>
      <c r="K11" s="55"/>
      <c r="L11" s="55"/>
      <c r="M11" s="55"/>
      <c r="N11" s="55"/>
      <c r="O11" s="56"/>
      <c r="P11" s="39"/>
      <c r="Q11" s="39"/>
      <c r="R11" s="40"/>
    </row>
    <row r="12" spans="1:18" x14ac:dyDescent="0.3">
      <c r="B12" s="156">
        <v>6</v>
      </c>
      <c r="C12" s="25" t="s">
        <v>128</v>
      </c>
      <c r="D12" s="157" t="s">
        <v>116</v>
      </c>
      <c r="E12" s="28">
        <v>0</v>
      </c>
      <c r="F12" s="34">
        <v>0</v>
      </c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40"/>
    </row>
    <row r="13" spans="1:18" x14ac:dyDescent="0.3">
      <c r="B13" s="156">
        <v>7</v>
      </c>
      <c r="C13" s="25" t="s">
        <v>129</v>
      </c>
      <c r="D13" s="157" t="s">
        <v>117</v>
      </c>
      <c r="E13" s="28">
        <v>0</v>
      </c>
      <c r="F13" s="34">
        <v>1</v>
      </c>
      <c r="H13" s="178" t="s">
        <v>40</v>
      </c>
      <c r="I13" s="179"/>
      <c r="J13" s="179"/>
      <c r="K13" s="180"/>
      <c r="L13" s="12"/>
      <c r="N13" s="39"/>
      <c r="O13" s="39"/>
      <c r="P13" s="41"/>
      <c r="Q13" s="39"/>
      <c r="R13" s="40"/>
    </row>
    <row r="14" spans="1:18" ht="14.25" customHeight="1" x14ac:dyDescent="0.3">
      <c r="B14" s="156">
        <v>8</v>
      </c>
      <c r="C14" s="25" t="s">
        <v>130</v>
      </c>
      <c r="D14" s="157" t="s">
        <v>117</v>
      </c>
      <c r="E14" s="28">
        <v>0</v>
      </c>
      <c r="F14" s="34">
        <v>0</v>
      </c>
      <c r="G14" s="1"/>
      <c r="H14" s="46" t="s">
        <v>29</v>
      </c>
      <c r="I14" s="33"/>
      <c r="J14" s="6">
        <v>4</v>
      </c>
      <c r="K14" s="176">
        <f>SUM(J14:J15)</f>
        <v>5</v>
      </c>
      <c r="L14" s="39"/>
      <c r="M14" s="39"/>
      <c r="N14" s="39"/>
      <c r="O14" s="39"/>
      <c r="P14" s="39"/>
      <c r="Q14" s="39"/>
      <c r="R14" s="40"/>
    </row>
    <row r="15" spans="1:18" ht="15" customHeight="1" x14ac:dyDescent="0.3">
      <c r="B15" s="156">
        <v>9</v>
      </c>
      <c r="C15" s="25" t="s">
        <v>131</v>
      </c>
      <c r="D15" s="157" t="s">
        <v>116</v>
      </c>
      <c r="E15" s="28">
        <v>0</v>
      </c>
      <c r="F15" s="34">
        <v>0</v>
      </c>
      <c r="G15" s="2"/>
      <c r="H15" s="47" t="s">
        <v>30</v>
      </c>
      <c r="I15" s="48"/>
      <c r="J15" s="49">
        <v>1</v>
      </c>
      <c r="K15" s="177"/>
      <c r="L15" s="39"/>
      <c r="N15" s="41"/>
      <c r="O15" s="39"/>
      <c r="P15" s="41"/>
      <c r="Q15" s="39"/>
      <c r="R15" s="40"/>
    </row>
    <row r="16" spans="1:18" x14ac:dyDescent="0.3">
      <c r="B16" s="156">
        <v>10</v>
      </c>
      <c r="C16" s="25" t="s">
        <v>132</v>
      </c>
      <c r="D16" s="157" t="s">
        <v>118</v>
      </c>
      <c r="E16" s="28">
        <v>0</v>
      </c>
      <c r="F16" s="34">
        <v>0</v>
      </c>
      <c r="G16" s="2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40"/>
    </row>
    <row r="17" spans="2:18" x14ac:dyDescent="0.3">
      <c r="B17" s="156">
        <v>11</v>
      </c>
      <c r="C17" s="25" t="s">
        <v>133</v>
      </c>
      <c r="D17" s="157" t="s">
        <v>116</v>
      </c>
      <c r="E17" s="28">
        <v>0</v>
      </c>
      <c r="F17" s="34">
        <v>0</v>
      </c>
      <c r="G17" s="8"/>
      <c r="H17" s="181" t="s">
        <v>49</v>
      </c>
      <c r="I17" s="182"/>
      <c r="J17" s="182"/>
      <c r="K17" s="183"/>
      <c r="L17" s="39"/>
      <c r="R17" s="40"/>
    </row>
    <row r="18" spans="2:18" x14ac:dyDescent="0.3">
      <c r="B18" s="156">
        <v>12</v>
      </c>
      <c r="C18" s="25" t="s">
        <v>134</v>
      </c>
      <c r="D18" s="157" t="s">
        <v>118</v>
      </c>
      <c r="E18" s="28">
        <v>0</v>
      </c>
      <c r="F18" s="34">
        <v>0</v>
      </c>
      <c r="G18" s="2"/>
      <c r="H18" s="59" t="s">
        <v>20</v>
      </c>
      <c r="I18" s="184" t="s">
        <v>38</v>
      </c>
      <c r="J18" s="184"/>
      <c r="K18" s="185"/>
      <c r="L18" s="39"/>
      <c r="R18" s="40"/>
    </row>
    <row r="19" spans="2:18" x14ac:dyDescent="0.3">
      <c r="B19" s="156">
        <v>13</v>
      </c>
      <c r="C19" s="25" t="s">
        <v>135</v>
      </c>
      <c r="D19" s="157" t="s">
        <v>118</v>
      </c>
      <c r="E19" s="28">
        <v>0</v>
      </c>
      <c r="F19" s="34">
        <v>0</v>
      </c>
      <c r="G19" s="3"/>
      <c r="H19" s="60" t="s">
        <v>21</v>
      </c>
      <c r="I19" s="184" t="s">
        <v>38</v>
      </c>
      <c r="J19" s="184"/>
      <c r="K19" s="185"/>
      <c r="L19" s="39"/>
      <c r="R19" s="40"/>
    </row>
    <row r="20" spans="2:18" x14ac:dyDescent="0.3">
      <c r="B20" s="156">
        <v>14</v>
      </c>
      <c r="C20" s="25" t="s">
        <v>136</v>
      </c>
      <c r="D20" s="157" t="s">
        <v>118</v>
      </c>
      <c r="E20" s="28">
        <v>0</v>
      </c>
      <c r="F20" s="34">
        <v>1</v>
      </c>
      <c r="G20" s="3"/>
      <c r="H20" s="59" t="s">
        <v>22</v>
      </c>
      <c r="I20" s="184" t="s">
        <v>38</v>
      </c>
      <c r="J20" s="184"/>
      <c r="K20" s="185"/>
      <c r="L20" s="39"/>
      <c r="R20" s="40"/>
    </row>
    <row r="21" spans="2:18" x14ac:dyDescent="0.3">
      <c r="B21" s="156">
        <v>15</v>
      </c>
      <c r="C21" s="25" t="s">
        <v>137</v>
      </c>
      <c r="D21" s="157" t="s">
        <v>117</v>
      </c>
      <c r="E21" s="28">
        <v>0</v>
      </c>
      <c r="F21" s="34">
        <v>0</v>
      </c>
      <c r="H21" s="60" t="s">
        <v>23</v>
      </c>
      <c r="I21" s="184" t="s">
        <v>38</v>
      </c>
      <c r="J21" s="184"/>
      <c r="K21" s="185"/>
      <c r="L21" s="39"/>
      <c r="R21" s="40"/>
    </row>
    <row r="22" spans="2:18" x14ac:dyDescent="0.3">
      <c r="B22" s="156">
        <v>16</v>
      </c>
      <c r="C22" s="25" t="s">
        <v>138</v>
      </c>
      <c r="D22" s="157" t="s">
        <v>116</v>
      </c>
      <c r="E22" s="28">
        <v>0</v>
      </c>
      <c r="F22" s="34">
        <v>0</v>
      </c>
      <c r="H22" s="59" t="s">
        <v>24</v>
      </c>
      <c r="I22" s="184" t="s">
        <v>38</v>
      </c>
      <c r="J22" s="184"/>
      <c r="K22" s="185"/>
      <c r="L22" s="39"/>
      <c r="R22" s="40"/>
    </row>
    <row r="23" spans="2:18" x14ac:dyDescent="0.3">
      <c r="B23" s="156">
        <v>17</v>
      </c>
      <c r="C23" s="25" t="s">
        <v>139</v>
      </c>
      <c r="D23" s="157" t="s">
        <v>140</v>
      </c>
      <c r="E23" s="28">
        <v>0</v>
      </c>
      <c r="F23" s="34">
        <v>0</v>
      </c>
      <c r="H23" s="60" t="s">
        <v>25</v>
      </c>
      <c r="I23" s="186" t="s">
        <v>38</v>
      </c>
      <c r="J23" s="187"/>
      <c r="K23" s="188"/>
      <c r="L23" s="39"/>
      <c r="R23" s="40"/>
    </row>
    <row r="24" spans="2:18" x14ac:dyDescent="0.3">
      <c r="B24" s="156">
        <v>18</v>
      </c>
      <c r="C24" s="25" t="s">
        <v>141</v>
      </c>
      <c r="D24" s="157" t="s">
        <v>118</v>
      </c>
      <c r="E24" s="28">
        <v>0</v>
      </c>
      <c r="F24" s="34">
        <v>0</v>
      </c>
      <c r="H24" s="61" t="s">
        <v>26</v>
      </c>
      <c r="I24" s="189" t="s">
        <v>38</v>
      </c>
      <c r="J24" s="190"/>
      <c r="K24" s="191"/>
      <c r="L24" s="39"/>
      <c r="R24" s="40"/>
    </row>
    <row r="25" spans="2:18" x14ac:dyDescent="0.3">
      <c r="B25" s="156">
        <v>19</v>
      </c>
      <c r="C25" s="25" t="s">
        <v>142</v>
      </c>
      <c r="D25" s="157" t="s">
        <v>118</v>
      </c>
      <c r="E25" s="28">
        <v>0</v>
      </c>
      <c r="F25" s="34">
        <v>0</v>
      </c>
      <c r="H25" s="13"/>
      <c r="I25" s="13"/>
      <c r="J25" s="13"/>
      <c r="K25" s="13"/>
      <c r="L25" s="13"/>
      <c r="M25" s="13"/>
      <c r="N25" s="13"/>
      <c r="O25" s="13"/>
      <c r="P25" s="13"/>
      <c r="Q25" s="13"/>
    </row>
    <row r="26" spans="2:18" x14ac:dyDescent="0.3">
      <c r="B26" s="156">
        <v>20</v>
      </c>
      <c r="C26" s="25" t="s">
        <v>143</v>
      </c>
      <c r="D26" s="157" t="s">
        <v>118</v>
      </c>
      <c r="E26" s="28">
        <v>0</v>
      </c>
      <c r="F26" s="34">
        <v>0</v>
      </c>
      <c r="H26" s="169" t="s">
        <v>41</v>
      </c>
      <c r="I26" s="170"/>
      <c r="J26" s="170"/>
      <c r="K26" s="171"/>
      <c r="L26" s="57"/>
    </row>
    <row r="27" spans="2:18" x14ac:dyDescent="0.3">
      <c r="B27" s="156">
        <v>21</v>
      </c>
      <c r="C27" s="25" t="s">
        <v>144</v>
      </c>
      <c r="D27" s="157" t="s">
        <v>116</v>
      </c>
      <c r="E27" s="28">
        <v>0</v>
      </c>
      <c r="F27" s="34">
        <v>0</v>
      </c>
      <c r="H27" s="62" t="s">
        <v>20</v>
      </c>
      <c r="I27" s="184" t="s">
        <v>38</v>
      </c>
      <c r="J27" s="187"/>
      <c r="K27" s="192"/>
      <c r="L27" s="11"/>
    </row>
    <row r="28" spans="2:18" x14ac:dyDescent="0.3">
      <c r="B28" s="156">
        <v>22</v>
      </c>
      <c r="C28" s="25" t="s">
        <v>145</v>
      </c>
      <c r="D28" s="157" t="s">
        <v>117</v>
      </c>
      <c r="E28" s="28">
        <v>0</v>
      </c>
      <c r="F28" s="34">
        <v>0</v>
      </c>
      <c r="H28" s="63" t="s">
        <v>21</v>
      </c>
      <c r="I28" s="186" t="s">
        <v>38</v>
      </c>
      <c r="J28" s="187"/>
      <c r="K28" s="192"/>
      <c r="L28" s="11"/>
    </row>
    <row r="29" spans="2:18" x14ac:dyDescent="0.3">
      <c r="B29" s="156">
        <v>23</v>
      </c>
      <c r="C29" s="25" t="s">
        <v>146</v>
      </c>
      <c r="D29" s="157" t="s">
        <v>116</v>
      </c>
      <c r="E29" s="28">
        <v>0</v>
      </c>
      <c r="F29" s="34">
        <v>0</v>
      </c>
      <c r="H29" s="62" t="s">
        <v>22</v>
      </c>
      <c r="I29" s="184" t="s">
        <v>74</v>
      </c>
      <c r="J29" s="187"/>
      <c r="K29" s="192"/>
      <c r="L29" s="11"/>
    </row>
    <row r="30" spans="2:18" x14ac:dyDescent="0.3">
      <c r="H30" s="63" t="s">
        <v>23</v>
      </c>
      <c r="I30" s="186" t="s">
        <v>74</v>
      </c>
      <c r="J30" s="187"/>
      <c r="K30" s="192"/>
      <c r="L30" s="11"/>
    </row>
    <row r="31" spans="2:18" x14ac:dyDescent="0.3">
      <c r="H31" s="62" t="s">
        <v>24</v>
      </c>
      <c r="I31" s="184" t="s">
        <v>74</v>
      </c>
      <c r="J31" s="187"/>
      <c r="K31" s="192"/>
      <c r="L31" s="11"/>
    </row>
    <row r="32" spans="2:18" x14ac:dyDescent="0.3">
      <c r="H32" s="63" t="s">
        <v>25</v>
      </c>
      <c r="I32" s="186" t="s">
        <v>74</v>
      </c>
      <c r="J32" s="187"/>
      <c r="K32" s="192"/>
      <c r="L32" s="11"/>
    </row>
    <row r="33" spans="8:12" x14ac:dyDescent="0.3">
      <c r="H33" s="64" t="s">
        <v>26</v>
      </c>
      <c r="I33" s="193" t="s">
        <v>74</v>
      </c>
      <c r="J33" s="194"/>
      <c r="K33" s="195"/>
      <c r="L33" s="11"/>
    </row>
  </sheetData>
  <sortState xmlns:xlrd2="http://schemas.microsoft.com/office/spreadsheetml/2017/richdata2" ref="C7:F7">
    <sortCondition ref="F6:F7"/>
  </sortState>
  <dataConsolidate/>
  <mergeCells count="23">
    <mergeCell ref="I32:K32"/>
    <mergeCell ref="I33:K33"/>
    <mergeCell ref="I27:K27"/>
    <mergeCell ref="I28:K28"/>
    <mergeCell ref="I29:K29"/>
    <mergeCell ref="I30:K30"/>
    <mergeCell ref="I31:K31"/>
    <mergeCell ref="B2:F2"/>
    <mergeCell ref="B3:F3"/>
    <mergeCell ref="I6:K6"/>
    <mergeCell ref="H26:K26"/>
    <mergeCell ref="N6:O6"/>
    <mergeCell ref="N7:O8"/>
    <mergeCell ref="K14:K15"/>
    <mergeCell ref="H13:K13"/>
    <mergeCell ref="H17:K17"/>
    <mergeCell ref="I18:K18"/>
    <mergeCell ref="I19:K19"/>
    <mergeCell ref="I20:K20"/>
    <mergeCell ref="I21:K21"/>
    <mergeCell ref="I22:K22"/>
    <mergeCell ref="I23:K23"/>
    <mergeCell ref="I24:K24"/>
  </mergeCells>
  <conditionalFormatting sqref="P15">
    <cfRule type="expression" dxfId="3" priority="4">
      <formula>"BUSCARV(P15;tblDeportistas[[Deportista]:[Compite]];4;0)=1"</formula>
    </cfRule>
  </conditionalFormatting>
  <conditionalFormatting sqref="P13">
    <cfRule type="expression" dxfId="2" priority="3">
      <formula>"BUSCARV(P15;tblDeportistas[[Deportista]:[Compite]];4;0)=1"</formula>
    </cfRule>
  </conditionalFormatting>
  <conditionalFormatting sqref="B7:F29">
    <cfRule type="expression" dxfId="1" priority="1">
      <formula>$F7&lt;&gt;0</formula>
    </cfRule>
  </conditionalFormatting>
  <dataValidations xWindow="1080" yWindow="638" count="6">
    <dataValidation type="whole" allowBlank="1" showInputMessage="1" showErrorMessage="1" errorTitle="Error" error="El numero de Jueces debe estar entre 1 y 7" promptTitle="Jueces en Panel" prompt="Cantidad de jueces que estaran calificando las figuras infantiles." sqref="J14:K14" xr:uid="{00000000-0002-0000-0000-000001000000}">
      <formula1>1</formula1>
      <formula2>7</formula2>
    </dataValidation>
    <dataValidation type="whole" allowBlank="1" showInputMessage="1" showErrorMessage="1" errorTitle="Error !!" error="El número de jueces en panel mas los calculados no debe ser mayor a 7." promptTitle="Calculados" prompt="Cantidad de jueces que seran calculados para completar el panel." sqref="J15:K15" xr:uid="{B3107478-AA5D-44B2-B806-21FF76FB1D16}">
      <formula1>0</formula1>
      <formula2>(7- JuecesPanel )</formula2>
    </dataValidation>
    <dataValidation type="list" allowBlank="1" showInputMessage="1" showErrorMessage="1" sqref="I27:K33 I18:K24" xr:uid="{0B74ADCE-B449-4F38-A227-9A9B5064131C}">
      <formula1>_xlfn.ANCHORARRAY(JuecesDisponibles)</formula1>
    </dataValidation>
    <dataValidation allowBlank="1" showInputMessage="1" showErrorMessage="1" errorTitle="Error" sqref="D7:D29" xr:uid="{00000000-0002-0000-0000-000002000000}"/>
    <dataValidation type="whole" allowBlank="1" sqref="F7:F29" xr:uid="{868C2382-58DD-4AAB-B42D-41A1C2459F3A}">
      <formula1>0</formula1>
      <formula2>1</formula2>
    </dataValidation>
    <dataValidation type="list" allowBlank="1" showInputMessage="1" showErrorMessage="1" sqref="P13" xr:uid="{4B649DAC-A3A9-4404-B507-2243D6819911}">
      <formula1>$C$7:$C$29</formula1>
    </dataValidation>
  </dataValidations>
  <printOptions horizontalCentered="1"/>
  <pageMargins left="0.1" right="0.12" top="0.74803149606299213" bottom="0.61" header="0.31496062992125984" footer="0.31496062992125984"/>
  <pageSetup scale="86" fitToHeight="0" orientation="portrait" errors="NA" r:id="rId1"/>
  <headerFooter>
    <oddFooter>&amp;L[&amp;A]&amp;RPágina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0" r:id="rId4" name="Button 8">
              <controlPr defaultSize="0" print="0" autoFill="0" autoPict="0" macro="[0]!GeneraPlanilla">
                <anchor moveWithCells="1" sizeWithCells="1">
                  <from>
                    <xdr:col>11</xdr:col>
                    <xdr:colOff>121920</xdr:colOff>
                    <xdr:row>12</xdr:row>
                    <xdr:rowOff>38100</xdr:rowOff>
                  </from>
                  <to>
                    <xdr:col>15</xdr:col>
                    <xdr:colOff>60960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5" name="Button 11">
              <controlPr defaultSize="0" print="0" autoFill="0" autoPict="0" macro="[0]!GeneraPDF">
                <anchor moveWithCells="1" sizeWithCells="1">
                  <from>
                    <xdr:col>11</xdr:col>
                    <xdr:colOff>121920</xdr:colOff>
                    <xdr:row>14</xdr:row>
                    <xdr:rowOff>167640</xdr:rowOff>
                  </from>
                  <to>
                    <xdr:col>15</xdr:col>
                    <xdr:colOff>30480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6" name="Button 12">
              <controlPr defaultSize="0" print="0" autoFill="0" autoPict="0" macro="[0]!LimpiaPlanillayPosiciones">
                <anchor moveWithCells="1" sizeWithCells="1">
                  <from>
                    <xdr:col>11</xdr:col>
                    <xdr:colOff>129540</xdr:colOff>
                    <xdr:row>19</xdr:row>
                    <xdr:rowOff>7620</xdr:rowOff>
                  </from>
                  <to>
                    <xdr:col>15</xdr:col>
                    <xdr:colOff>38100</xdr:colOff>
                    <xdr:row>21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7" name="Button 13">
              <controlPr defaultSize="0" print="0" autoFill="0" autoPict="0" macro="[0]!LimpiaInscripciones">
                <anchor moveWithCells="1" sizeWithCells="1">
                  <from>
                    <xdr:col>11</xdr:col>
                    <xdr:colOff>152400</xdr:colOff>
                    <xdr:row>22</xdr:row>
                    <xdr:rowOff>53340</xdr:rowOff>
                  </from>
                  <to>
                    <xdr:col>15</xdr:col>
                    <xdr:colOff>53340</xdr:colOff>
                    <xdr:row>24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3" id="{D2F9C527-8DE2-4A85-92F5-A2530A3652C5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2"/>
              <x14:cfIcon iconSet="3Symbols2" iconId="2"/>
              <x14:cfIcon iconSet="3Symbols2" iconId="0"/>
            </x14:iconSet>
          </x14:cfRule>
          <xm:sqref>F7:F29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4BDBA-F30E-486C-8765-F6610BC734C1}">
  <sheetPr codeName="Hoja2" filterMode="1">
    <pageSetUpPr fitToPage="1"/>
  </sheetPr>
  <dimension ref="A1:T54"/>
  <sheetViews>
    <sheetView showGridLines="0" tabSelected="1" topLeftCell="B1" zoomScale="90" zoomScaleNormal="90" workbookViewId="0">
      <selection sqref="A1:A1048576"/>
    </sheetView>
  </sheetViews>
  <sheetFormatPr baseColWidth="10" defaultColWidth="0" defaultRowHeight="14.4" x14ac:dyDescent="0.3"/>
  <cols>
    <col min="1" max="1" width="29.21875" style="13" hidden="1" customWidth="1"/>
    <col min="2" max="2" width="7" style="13" customWidth="1"/>
    <col min="3" max="3" width="28.109375" style="13" bestFit="1" customWidth="1"/>
    <col min="4" max="4" width="25.88671875" style="13" customWidth="1"/>
    <col min="5" max="5" width="6.44140625" style="13" customWidth="1"/>
    <col min="6" max="12" width="4.6640625" style="13" customWidth="1"/>
    <col min="13" max="14" width="5.33203125" style="13" hidden="1" customWidth="1"/>
    <col min="15" max="15" width="5.44140625" style="13" hidden="1" customWidth="1"/>
    <col min="16" max="16" width="7" style="13" hidden="1" customWidth="1"/>
    <col min="17" max="17" width="3.6640625" style="13" customWidth="1"/>
    <col min="18" max="18" width="17" style="13" hidden="1" customWidth="1"/>
    <col min="19" max="19" width="10.33203125" style="13" customWidth="1"/>
    <col min="20" max="20" width="1.6640625" style="13" customWidth="1"/>
    <col min="21" max="16384" width="11.44140625" style="13" hidden="1"/>
  </cols>
  <sheetData>
    <row r="1" spans="1:19" ht="15.75" customHeight="1" x14ac:dyDescent="0.4">
      <c r="B1" s="197" t="str">
        <f>HeadLin1</f>
        <v>Liga de Natación de Antioquia</v>
      </c>
      <c r="C1" s="197"/>
      <c r="D1" s="197"/>
      <c r="E1" s="197"/>
      <c r="F1" s="197"/>
      <c r="G1" s="197"/>
      <c r="H1" s="98"/>
      <c r="I1" s="98"/>
      <c r="J1" s="98"/>
      <c r="K1" s="98"/>
      <c r="L1" s="98"/>
      <c r="M1" s="98"/>
      <c r="N1" s="98"/>
      <c r="O1" s="99"/>
      <c r="P1" s="99"/>
      <c r="Q1" s="99"/>
      <c r="R1" s="99"/>
      <c r="S1" s="99"/>
    </row>
    <row r="2" spans="1:19" ht="15.75" customHeight="1" x14ac:dyDescent="0.4">
      <c r="B2" s="197" t="str">
        <f>HeadLin2</f>
        <v>Festival infantil departamental Fase I</v>
      </c>
      <c r="C2" s="197"/>
      <c r="D2" s="197"/>
      <c r="E2" s="197"/>
      <c r="F2" s="197"/>
      <c r="G2" s="197"/>
      <c r="H2" s="98"/>
      <c r="I2" s="98"/>
      <c r="J2" s="98"/>
      <c r="K2" s="98"/>
      <c r="L2" s="98"/>
      <c r="M2" s="98"/>
      <c r="N2" s="98"/>
      <c r="O2" s="99"/>
      <c r="P2" s="99"/>
      <c r="Q2" s="99"/>
      <c r="R2" s="99"/>
      <c r="S2" s="99"/>
    </row>
    <row r="3" spans="1:19" ht="15.75" customHeight="1" x14ac:dyDescent="0.4">
      <c r="B3" s="197" t="str">
        <f>HeadLin3</f>
        <v>Figuras - Categoría Novatas 9-10</v>
      </c>
      <c r="C3" s="197"/>
      <c r="D3" s="197"/>
      <c r="E3" s="197"/>
      <c r="F3" s="197"/>
      <c r="G3" s="197"/>
      <c r="H3" s="98"/>
      <c r="I3" s="98"/>
      <c r="J3" s="98"/>
      <c r="K3" s="98"/>
      <c r="L3" s="98"/>
      <c r="M3" s="98"/>
      <c r="N3" s="98"/>
      <c r="O3" s="99"/>
      <c r="P3" s="99"/>
      <c r="Q3" s="99"/>
      <c r="R3" s="99"/>
      <c r="S3" s="99"/>
    </row>
    <row r="4" spans="1:19" ht="15.75" customHeight="1" x14ac:dyDescent="0.4">
      <c r="B4" s="197" t="str">
        <f>HeadLin4</f>
        <v>Abril 23 de 2022</v>
      </c>
      <c r="C4" s="197"/>
      <c r="D4" s="197"/>
      <c r="E4" s="197"/>
      <c r="F4" s="197"/>
      <c r="G4" s="197"/>
      <c r="H4" s="98"/>
      <c r="I4" s="98"/>
      <c r="J4" s="98"/>
      <c r="K4" s="98"/>
      <c r="L4" s="98"/>
      <c r="M4" s="98"/>
      <c r="N4" s="98"/>
      <c r="O4" s="99"/>
      <c r="P4" s="99"/>
      <c r="Q4" s="99"/>
      <c r="R4" s="99"/>
      <c r="S4" s="99"/>
    </row>
    <row r="5" spans="1:19" ht="10.5" customHeight="1" x14ac:dyDescent="0.4">
      <c r="B5" s="99"/>
      <c r="C5" s="99"/>
      <c r="D5" s="99"/>
      <c r="E5" s="99"/>
      <c r="F5" s="99"/>
      <c r="G5" s="99"/>
      <c r="H5" s="99"/>
      <c r="I5" s="99"/>
      <c r="J5" s="99"/>
      <c r="K5" s="99"/>
      <c r="L5" s="99"/>
      <c r="M5" s="99"/>
      <c r="N5" s="99"/>
      <c r="O5" s="99"/>
      <c r="P5" s="99"/>
      <c r="Q5" s="99"/>
      <c r="R5" s="99"/>
      <c r="S5" s="99"/>
    </row>
    <row r="6" spans="1:19" x14ac:dyDescent="0.3">
      <c r="B6" s="23"/>
      <c r="C6" s="24"/>
      <c r="D6" s="24"/>
      <c r="E6" s="24"/>
      <c r="F6" s="198" t="s">
        <v>43</v>
      </c>
      <c r="G6" s="198"/>
      <c r="H6" s="198"/>
      <c r="I6" s="198"/>
      <c r="J6" s="198"/>
      <c r="K6" s="198"/>
      <c r="L6" s="198"/>
      <c r="M6" s="120"/>
      <c r="N6" s="120"/>
      <c r="O6" s="120"/>
      <c r="P6" s="120"/>
      <c r="Q6" s="120"/>
      <c r="R6" s="196"/>
      <c r="S6" s="196"/>
    </row>
    <row r="7" spans="1:19" ht="36.450000000000003" customHeight="1" x14ac:dyDescent="0.3">
      <c r="A7" s="13" t="s">
        <v>147</v>
      </c>
      <c r="B7" s="76" t="s">
        <v>5</v>
      </c>
      <c r="C7" s="76" t="s">
        <v>6</v>
      </c>
      <c r="D7" s="76" t="s">
        <v>7</v>
      </c>
      <c r="E7" s="81" t="s">
        <v>113</v>
      </c>
      <c r="F7" s="77" t="s">
        <v>64</v>
      </c>
      <c r="G7" s="76" t="s">
        <v>65</v>
      </c>
      <c r="H7" s="76" t="s">
        <v>66</v>
      </c>
      <c r="I7" s="76" t="s">
        <v>67</v>
      </c>
      <c r="J7" s="76" t="s">
        <v>68</v>
      </c>
      <c r="K7" s="76" t="s">
        <v>69</v>
      </c>
      <c r="L7" s="76" t="s">
        <v>70</v>
      </c>
      <c r="M7" s="78" t="s">
        <v>1</v>
      </c>
      <c r="N7" s="78" t="s">
        <v>2</v>
      </c>
      <c r="O7" s="79" t="s">
        <v>72</v>
      </c>
      <c r="P7" s="80" t="s">
        <v>71</v>
      </c>
      <c r="Q7" s="78" t="s">
        <v>8</v>
      </c>
      <c r="R7" s="81" t="s">
        <v>3</v>
      </c>
      <c r="S7" s="82" t="s">
        <v>4</v>
      </c>
    </row>
    <row r="8" spans="1:19" hidden="1" x14ac:dyDescent="0.3">
      <c r="A8" s="13" t="str">
        <f>D8</f>
        <v>ESTRELLAS DE ANTIOQUIA</v>
      </c>
      <c r="B8" s="83">
        <v>1</v>
      </c>
      <c r="C8" s="90" t="s">
        <v>123</v>
      </c>
      <c r="D8" s="89" t="s">
        <v>116</v>
      </c>
      <c r="E8" s="76">
        <f>Obligatoria1Cod</f>
        <v>1</v>
      </c>
      <c r="F8" s="97">
        <v>3.7</v>
      </c>
      <c r="G8" s="85">
        <v>4.5</v>
      </c>
      <c r="H8" s="85">
        <v>5</v>
      </c>
      <c r="I8" s="85">
        <v>4.4000000000000004</v>
      </c>
      <c r="J8" s="85">
        <f t="shared" ref="J8:J13" si="0">IF(JuecesPanel&gt;=5,"",IF((JuecesPanel+JuecesCalc)&lt;5,"",IF(COUNT(F8:I8)&gt;0,AVERAGE(F8:I8),"")))</f>
        <v>4.4000000000000004</v>
      </c>
      <c r="K8" s="85" t="str">
        <f t="shared" ref="K8:K13" si="1">IF(JuecesPanel&gt;=6,"",IF((JuecesPanel+JuecesCalc)&lt;6,"",IF(COUNT(F8:J8)&gt;0,AVERAGE(F8:J8),"")))</f>
        <v/>
      </c>
      <c r="L8" s="85" t="str">
        <f t="shared" ref="L8:L13" si="2">IF(JuecesPanel&gt;=7,"",IF((JuecesPanel+JuecesCalc)&lt;7,"",IF(COUNT(F8:K8)&gt;0,AVERAGE(F8:K8),"")))</f>
        <v/>
      </c>
      <c r="M8" s="84">
        <f t="shared" ref="M8:M53" si="3">IF(COUNT(F8:L8)&gt;4,MAX(F8:L8),"")</f>
        <v>5</v>
      </c>
      <c r="N8" s="84">
        <f t="shared" ref="N8:N53" si="4">IF(COUNT(F8:L8)&gt;4,MIN(F8:L8),"")</f>
        <v>3.7</v>
      </c>
      <c r="O8" s="91">
        <f t="shared" ref="O8:O53" si="5">IF(COUNT(F8:L8)&gt;0,(SUM(F8:L8)-( SUM(M8:N8)  ))/(IF(COUNT(F8:L8)&gt;4,COUNT(F8:L8)-2,COUNT(F8:L8))),"")</f>
        <v>4.4333333333333336</v>
      </c>
      <c r="P8" s="122">
        <f>IF(COUNT(F8:L8)&gt;0,O8*Obligatoria1GD,"")</f>
        <v>7.0933333333333337</v>
      </c>
      <c r="Q8" s="126"/>
      <c r="R8" s="124">
        <f>IF(COUNT(F8:L9)&gt;0,SUM(P8:P9),"")</f>
        <v>15.120833333333334</v>
      </c>
      <c r="S8" s="92">
        <f>IF(COUNT(F8:L9)&gt;0,((R8/TotalGD)*10)-SUM(Q8:Q9),0)</f>
        <v>43.202380952380956</v>
      </c>
    </row>
    <row r="9" spans="1:19" hidden="1" x14ac:dyDescent="0.3">
      <c r="A9" s="13" t="str">
        <f>D8</f>
        <v>ESTRELLAS DE ANTIOQUIA</v>
      </c>
      <c r="B9" s="93"/>
      <c r="C9" s="94"/>
      <c r="D9" s="93"/>
      <c r="E9" s="76">
        <f>Obligatoria2Cod</f>
        <v>2</v>
      </c>
      <c r="F9" s="88">
        <v>4</v>
      </c>
      <c r="G9" s="86">
        <v>4.5</v>
      </c>
      <c r="H9" s="86">
        <v>4.7</v>
      </c>
      <c r="I9" s="86">
        <v>3.5</v>
      </c>
      <c r="J9" s="86">
        <f t="shared" si="0"/>
        <v>4.1749999999999998</v>
      </c>
      <c r="K9" s="86" t="str">
        <f t="shared" si="1"/>
        <v/>
      </c>
      <c r="L9" s="86" t="str">
        <f t="shared" si="2"/>
        <v/>
      </c>
      <c r="M9" s="86">
        <f t="shared" si="3"/>
        <v>4.7</v>
      </c>
      <c r="N9" s="86">
        <f t="shared" si="4"/>
        <v>3.5</v>
      </c>
      <c r="O9" s="95">
        <f t="shared" si="5"/>
        <v>4.2250000000000005</v>
      </c>
      <c r="P9" s="123">
        <f>IF(COUNT(F9:L9)&gt;0,O9*Obligatoria2GD,"")</f>
        <v>8.0274999999999999</v>
      </c>
      <c r="Q9" s="127"/>
      <c r="R9" s="125"/>
      <c r="S9" s="96"/>
    </row>
    <row r="10" spans="1:19" hidden="1" x14ac:dyDescent="0.3">
      <c r="A10" s="13" t="str">
        <f t="shared" ref="A10:A21" si="6">D10</f>
        <v>ESTRELLAS DE ANTIOQUIA</v>
      </c>
      <c r="B10" s="83">
        <v>2</v>
      </c>
      <c r="C10" s="90" t="s">
        <v>124</v>
      </c>
      <c r="D10" s="89" t="s">
        <v>116</v>
      </c>
      <c r="E10" s="76">
        <f>Obligatoria1Cod</f>
        <v>1</v>
      </c>
      <c r="F10" s="97">
        <v>3.4</v>
      </c>
      <c r="G10" s="85">
        <v>4.3</v>
      </c>
      <c r="H10" s="85">
        <v>4.5999999999999996</v>
      </c>
      <c r="I10" s="85">
        <v>4</v>
      </c>
      <c r="J10" s="85">
        <f t="shared" si="0"/>
        <v>4.0749999999999993</v>
      </c>
      <c r="K10" s="85" t="str">
        <f t="shared" si="1"/>
        <v/>
      </c>
      <c r="L10" s="85" t="str">
        <f t="shared" si="2"/>
        <v/>
      </c>
      <c r="M10" s="84">
        <f t="shared" si="3"/>
        <v>4.5999999999999996</v>
      </c>
      <c r="N10" s="84">
        <f t="shared" si="4"/>
        <v>3.4</v>
      </c>
      <c r="O10" s="91">
        <f t="shared" si="5"/>
        <v>4.1249999999999991</v>
      </c>
      <c r="P10" s="122">
        <f>IF(COUNT(F10:L10)&gt;0,O10*Obligatoria1GD,"")</f>
        <v>6.5999999999999988</v>
      </c>
      <c r="Q10" s="126"/>
      <c r="R10" s="124">
        <f>IF(COUNT(F10:L11)&gt;0,SUM(P10:P11),"")</f>
        <v>13.234166666666665</v>
      </c>
      <c r="S10" s="92">
        <f>IF(COUNT(F10:L11)&gt;0,((R10/TotalGD)*10)-SUM(Q10:Q11),0)</f>
        <v>37.811904761904756</v>
      </c>
    </row>
    <row r="11" spans="1:19" hidden="1" x14ac:dyDescent="0.3">
      <c r="A11" s="13" t="str">
        <f t="shared" ref="A11:A21" si="7">D10</f>
        <v>ESTRELLAS DE ANTIOQUIA</v>
      </c>
      <c r="B11" s="93"/>
      <c r="C11" s="94"/>
      <c r="D11" s="93"/>
      <c r="E11" s="76">
        <f>Obligatoria2Cod</f>
        <v>2</v>
      </c>
      <c r="F11" s="88">
        <v>3.3</v>
      </c>
      <c r="G11" s="86">
        <v>3.6</v>
      </c>
      <c r="H11" s="86">
        <v>3.2</v>
      </c>
      <c r="I11" s="86">
        <v>4.2</v>
      </c>
      <c r="J11" s="86">
        <f t="shared" si="0"/>
        <v>3.5750000000000002</v>
      </c>
      <c r="K11" s="86" t="str">
        <f t="shared" si="1"/>
        <v/>
      </c>
      <c r="L11" s="86" t="str">
        <f t="shared" si="2"/>
        <v/>
      </c>
      <c r="M11" s="86">
        <f t="shared" si="3"/>
        <v>4.2</v>
      </c>
      <c r="N11" s="86">
        <f t="shared" si="4"/>
        <v>3.2</v>
      </c>
      <c r="O11" s="95">
        <f t="shared" si="5"/>
        <v>3.4916666666666667</v>
      </c>
      <c r="P11" s="123">
        <f>IF(COUNT(F11:L11)&gt;0,O11*Obligatoria2GD,"")</f>
        <v>6.6341666666666663</v>
      </c>
      <c r="Q11" s="127"/>
      <c r="R11" s="125"/>
      <c r="S11" s="96"/>
    </row>
    <row r="12" spans="1:19" hidden="1" x14ac:dyDescent="0.3">
      <c r="A12" s="13" t="str">
        <f t="shared" ref="A12:A21" si="8">D12</f>
        <v>SINCROANTIOQUIA NADO</v>
      </c>
      <c r="B12" s="83">
        <v>3</v>
      </c>
      <c r="C12" s="90" t="s">
        <v>125</v>
      </c>
      <c r="D12" s="89" t="s">
        <v>118</v>
      </c>
      <c r="E12" s="76">
        <f>Obligatoria1Cod</f>
        <v>1</v>
      </c>
      <c r="F12" s="97">
        <v>4</v>
      </c>
      <c r="G12" s="85">
        <v>5</v>
      </c>
      <c r="H12" s="85">
        <v>5.3</v>
      </c>
      <c r="I12" s="85">
        <v>5</v>
      </c>
      <c r="J12" s="85">
        <f t="shared" si="0"/>
        <v>4.8250000000000002</v>
      </c>
      <c r="K12" s="85" t="str">
        <f t="shared" si="1"/>
        <v/>
      </c>
      <c r="L12" s="85" t="str">
        <f t="shared" si="2"/>
        <v/>
      </c>
      <c r="M12" s="84">
        <f t="shared" si="3"/>
        <v>5.3</v>
      </c>
      <c r="N12" s="84">
        <f t="shared" si="4"/>
        <v>4</v>
      </c>
      <c r="O12" s="91">
        <f t="shared" si="5"/>
        <v>4.9416666666666664</v>
      </c>
      <c r="P12" s="122">
        <f>IF(COUNT(F12:L12)&gt;0,O12*Obligatoria1GD,"")</f>
        <v>7.9066666666666663</v>
      </c>
      <c r="Q12" s="126"/>
      <c r="R12" s="124">
        <f>IF(COUNT(F12:L13)&gt;0,SUM(P12:P13),"")</f>
        <v>16.630833333333335</v>
      </c>
      <c r="S12" s="92">
        <f>IF(COUNT(F12:L13)&gt;0,((R12/TotalGD)*10)-SUM(Q12:Q13),0)</f>
        <v>47.516666666666666</v>
      </c>
    </row>
    <row r="13" spans="1:19" hidden="1" x14ac:dyDescent="0.3">
      <c r="A13" s="13" t="str">
        <f t="shared" ref="A13:A21" si="9">D12</f>
        <v>SINCROANTIOQUIA NADO</v>
      </c>
      <c r="B13" s="93"/>
      <c r="C13" s="94"/>
      <c r="D13" s="93"/>
      <c r="E13" s="76">
        <f>Obligatoria2Cod</f>
        <v>2</v>
      </c>
      <c r="F13" s="88">
        <v>4.3</v>
      </c>
      <c r="G13" s="86">
        <v>5</v>
      </c>
      <c r="H13" s="86">
        <v>5</v>
      </c>
      <c r="I13" s="86">
        <v>3.6</v>
      </c>
      <c r="J13" s="86">
        <f t="shared" si="0"/>
        <v>4.4750000000000005</v>
      </c>
      <c r="K13" s="86" t="str">
        <f t="shared" si="1"/>
        <v/>
      </c>
      <c r="L13" s="86" t="str">
        <f t="shared" si="2"/>
        <v/>
      </c>
      <c r="M13" s="86">
        <f t="shared" si="3"/>
        <v>5</v>
      </c>
      <c r="N13" s="86">
        <f t="shared" si="4"/>
        <v>3.6</v>
      </c>
      <c r="O13" s="95">
        <f t="shared" si="5"/>
        <v>4.5916666666666677</v>
      </c>
      <c r="P13" s="123">
        <f>IF(COUNT(F13:L13)&gt;0,O13*Obligatoria2GD,"")</f>
        <v>8.7241666666666688</v>
      </c>
      <c r="Q13" s="127"/>
      <c r="R13" s="125"/>
      <c r="S13" s="96"/>
    </row>
    <row r="14" spans="1:19" x14ac:dyDescent="0.3">
      <c r="A14" s="13" t="str">
        <f t="shared" ref="A14:A21" si="10">D14</f>
        <v>AQUASWIM</v>
      </c>
      <c r="B14" s="128">
        <v>4</v>
      </c>
      <c r="C14" s="154" t="s">
        <v>126</v>
      </c>
      <c r="D14" s="155" t="s">
        <v>117</v>
      </c>
      <c r="E14" s="129" t="s">
        <v>109</v>
      </c>
      <c r="F14" s="130" t="s">
        <v>109</v>
      </c>
      <c r="G14" s="131" t="s">
        <v>109</v>
      </c>
      <c r="H14" s="131" t="s">
        <v>109</v>
      </c>
      <c r="I14" s="131" t="s">
        <v>109</v>
      </c>
      <c r="J14" s="131" t="s">
        <v>109</v>
      </c>
      <c r="K14" s="131" t="s">
        <v>109</v>
      </c>
      <c r="L14" s="132" t="s">
        <v>109</v>
      </c>
      <c r="M14" s="133" t="str">
        <f t="shared" si="3"/>
        <v/>
      </c>
      <c r="N14" s="134" t="str">
        <f t="shared" si="4"/>
        <v/>
      </c>
      <c r="O14" s="135" t="str">
        <f t="shared" si="5"/>
        <v/>
      </c>
      <c r="P14" s="136" t="str">
        <f>IF(COUNT(F14:L14)&gt;0,O14*Obligatoria1GD,"")</f>
        <v/>
      </c>
      <c r="Q14" s="137"/>
      <c r="R14" s="138" t="str">
        <f>IF(COUNT(F14:L15)&gt;0,SUM(P14:P15),"")</f>
        <v/>
      </c>
      <c r="S14" s="139"/>
    </row>
    <row r="15" spans="1:19" x14ac:dyDescent="0.3">
      <c r="A15" s="13" t="str">
        <f t="shared" ref="A15:A21" si="11">D14</f>
        <v>AQUASWIM</v>
      </c>
      <c r="B15" s="141"/>
      <c r="C15" s="142"/>
      <c r="D15" s="143"/>
      <c r="E15" s="140" t="s">
        <v>109</v>
      </c>
      <c r="F15" s="144" t="s">
        <v>109</v>
      </c>
      <c r="G15" s="145" t="s">
        <v>109</v>
      </c>
      <c r="H15" s="145" t="s">
        <v>109</v>
      </c>
      <c r="I15" s="145" t="s">
        <v>109</v>
      </c>
      <c r="J15" s="145" t="s">
        <v>109</v>
      </c>
      <c r="K15" s="145" t="s">
        <v>109</v>
      </c>
      <c r="L15" s="146" t="s">
        <v>109</v>
      </c>
      <c r="M15" s="147" t="str">
        <f t="shared" si="3"/>
        <v/>
      </c>
      <c r="N15" s="148" t="str">
        <f t="shared" si="4"/>
        <v/>
      </c>
      <c r="O15" s="149" t="str">
        <f t="shared" si="5"/>
        <v/>
      </c>
      <c r="P15" s="150" t="str">
        <f>IF(COUNT(F15:L15)&gt;0,O15*Opcional2GD,"")</f>
        <v/>
      </c>
      <c r="Q15" s="151"/>
      <c r="R15" s="152"/>
      <c r="S15" s="153"/>
    </row>
    <row r="16" spans="1:19" hidden="1" x14ac:dyDescent="0.3">
      <c r="A16" s="13" t="str">
        <f t="shared" ref="A16:A21" si="12">D16</f>
        <v>SINCROANTIOQUIA NADO</v>
      </c>
      <c r="B16" s="83">
        <v>5</v>
      </c>
      <c r="C16" s="90" t="s">
        <v>127</v>
      </c>
      <c r="D16" s="89" t="s">
        <v>118</v>
      </c>
      <c r="E16" s="76">
        <f>Obligatoria1Cod</f>
        <v>1</v>
      </c>
      <c r="F16" s="97">
        <v>3.8</v>
      </c>
      <c r="G16" s="85">
        <v>4.7</v>
      </c>
      <c r="H16" s="85">
        <v>4</v>
      </c>
      <c r="I16" s="85">
        <v>4.7</v>
      </c>
      <c r="J16" s="85">
        <f>IF(JuecesPanel&gt;=5,"",IF((JuecesPanel+JuecesCalc)&lt;5,"",IF(COUNT(F16:I16)&gt;0,AVERAGE(F16:I16),"")))</f>
        <v>4.3</v>
      </c>
      <c r="K16" s="85" t="str">
        <f>IF(JuecesPanel&gt;=6,"",IF((JuecesPanel+JuecesCalc)&lt;6,"",IF(COUNT(F16:J16)&gt;0,AVERAGE(F16:J16),"")))</f>
        <v/>
      </c>
      <c r="L16" s="85" t="str">
        <f>IF(JuecesPanel&gt;=7,"",IF((JuecesPanel+JuecesCalc)&lt;7,"",IF(COUNT(F16:K16)&gt;0,AVERAGE(F16:K16),"")))</f>
        <v/>
      </c>
      <c r="M16" s="84">
        <f t="shared" si="3"/>
        <v>4.7</v>
      </c>
      <c r="N16" s="84">
        <f t="shared" si="4"/>
        <v>3.8</v>
      </c>
      <c r="O16" s="91">
        <f t="shared" si="5"/>
        <v>4.333333333333333</v>
      </c>
      <c r="P16" s="122">
        <f>IF(COUNT(F16:L16)&gt;0,O16*Obligatoria1GD,"")</f>
        <v>6.9333333333333336</v>
      </c>
      <c r="Q16" s="126"/>
      <c r="R16" s="124">
        <f>IF(COUNT(F16:L17)&gt;0,SUM(P16:P17),"")</f>
        <v>15.245833333333334</v>
      </c>
      <c r="S16" s="92">
        <f>IF(COUNT(F16:L17)&gt;0,((R16/TotalGD)*10)-SUM(Q16:Q17),0)</f>
        <v>43.55952380952381</v>
      </c>
    </row>
    <row r="17" spans="1:19" hidden="1" x14ac:dyDescent="0.3">
      <c r="A17" s="13" t="str">
        <f t="shared" ref="A17:A21" si="13">D16</f>
        <v>SINCROANTIOQUIA NADO</v>
      </c>
      <c r="B17" s="93"/>
      <c r="C17" s="94"/>
      <c r="D17" s="93"/>
      <c r="E17" s="76">
        <f>Obligatoria2Cod</f>
        <v>2</v>
      </c>
      <c r="F17" s="88">
        <v>3.6</v>
      </c>
      <c r="G17" s="86">
        <v>4.3</v>
      </c>
      <c r="H17" s="86">
        <v>4.5</v>
      </c>
      <c r="I17" s="86">
        <v>4.9000000000000004</v>
      </c>
      <c r="J17" s="86">
        <f>IF(JuecesPanel&gt;=5,"",IF((JuecesPanel+JuecesCalc)&lt;5,"",IF(COUNT(F17:I17)&gt;0,AVERAGE(F17:I17),"")))</f>
        <v>4.3250000000000002</v>
      </c>
      <c r="K17" s="86" t="str">
        <f>IF(JuecesPanel&gt;=6,"",IF((JuecesPanel+JuecesCalc)&lt;6,"",IF(COUNT(F17:J17)&gt;0,AVERAGE(F17:J17),"")))</f>
        <v/>
      </c>
      <c r="L17" s="86" t="str">
        <f>IF(JuecesPanel&gt;=7,"",IF((JuecesPanel+JuecesCalc)&lt;7,"",IF(COUNT(F17:K17)&gt;0,AVERAGE(F17:K17),"")))</f>
        <v/>
      </c>
      <c r="M17" s="86">
        <f t="shared" si="3"/>
        <v>4.9000000000000004</v>
      </c>
      <c r="N17" s="86">
        <f t="shared" si="4"/>
        <v>3.6</v>
      </c>
      <c r="O17" s="95">
        <f t="shared" si="5"/>
        <v>4.375</v>
      </c>
      <c r="P17" s="123">
        <f>IF(COUNT(F17:L17)&gt;0,O17*Obligatoria2GD,"")</f>
        <v>8.3125</v>
      </c>
      <c r="Q17" s="127"/>
      <c r="R17" s="125"/>
      <c r="S17" s="96"/>
    </row>
    <row r="18" spans="1:19" hidden="1" x14ac:dyDescent="0.3">
      <c r="A18" s="13" t="str">
        <f t="shared" ref="A18:A21" si="14">D18</f>
        <v>ESTRELLAS DE ANTIOQUIA</v>
      </c>
      <c r="B18" s="83">
        <v>6</v>
      </c>
      <c r="C18" s="90" t="s">
        <v>128</v>
      </c>
      <c r="D18" s="89" t="s">
        <v>116</v>
      </c>
      <c r="E18" s="76">
        <f>Obligatoria1Cod</f>
        <v>1</v>
      </c>
      <c r="F18" s="97">
        <v>4.0999999999999996</v>
      </c>
      <c r="G18" s="85">
        <v>4.5999999999999996</v>
      </c>
      <c r="H18" s="85">
        <v>4.8</v>
      </c>
      <c r="I18" s="85">
        <v>4.5</v>
      </c>
      <c r="J18" s="85">
        <f>IF(JuecesPanel&gt;=5,"",IF((JuecesPanel+JuecesCalc)&lt;5,"",IF(COUNT(F18:I18)&gt;0,AVERAGE(F18:I18),"")))</f>
        <v>4.5</v>
      </c>
      <c r="K18" s="85" t="str">
        <f>IF(JuecesPanel&gt;=6,"",IF((JuecesPanel+JuecesCalc)&lt;6,"",IF(COUNT(F18:J18)&gt;0,AVERAGE(F18:J18),"")))</f>
        <v/>
      </c>
      <c r="L18" s="85" t="str">
        <f>IF(JuecesPanel&gt;=7,"",IF((JuecesPanel+JuecesCalc)&lt;7,"",IF(COUNT(F18:K18)&gt;0,AVERAGE(F18:K18),"")))</f>
        <v/>
      </c>
      <c r="M18" s="84">
        <f t="shared" si="3"/>
        <v>4.8</v>
      </c>
      <c r="N18" s="84">
        <f t="shared" si="4"/>
        <v>4.0999999999999996</v>
      </c>
      <c r="O18" s="91">
        <f t="shared" si="5"/>
        <v>4.5333333333333341</v>
      </c>
      <c r="P18" s="122">
        <f>IF(COUNT(F18:L18)&gt;0,O18*Obligatoria1GD,"")</f>
        <v>7.2533333333333347</v>
      </c>
      <c r="Q18" s="126"/>
      <c r="R18" s="124">
        <f>IF(COUNT(F18:L19)&gt;0,SUM(P18:P19),"")</f>
        <v>14.4575</v>
      </c>
      <c r="S18" s="92">
        <f>IF(COUNT(F18:L19)&gt;0,((R18/TotalGD)*10)-SUM(Q18:Q19),0)</f>
        <v>41.30714285714285</v>
      </c>
    </row>
    <row r="19" spans="1:19" hidden="1" x14ac:dyDescent="0.3">
      <c r="A19" s="13" t="str">
        <f t="shared" ref="A19:A21" si="15">D18</f>
        <v>ESTRELLAS DE ANTIOQUIA</v>
      </c>
      <c r="B19" s="93"/>
      <c r="C19" s="94"/>
      <c r="D19" s="93"/>
      <c r="E19" s="76">
        <f>Obligatoria2Cod</f>
        <v>2</v>
      </c>
      <c r="F19" s="88">
        <v>3.5</v>
      </c>
      <c r="G19" s="86">
        <v>4.8</v>
      </c>
      <c r="H19" s="86">
        <v>4</v>
      </c>
      <c r="I19" s="86">
        <v>3.2</v>
      </c>
      <c r="J19" s="86">
        <f>IF(JuecesPanel&gt;=5,"",IF((JuecesPanel+JuecesCalc)&lt;5,"",IF(COUNT(F19:I19)&gt;0,AVERAGE(F19:I19),"")))</f>
        <v>3.875</v>
      </c>
      <c r="K19" s="86" t="str">
        <f>IF(JuecesPanel&gt;=6,"",IF((JuecesPanel+JuecesCalc)&lt;6,"",IF(COUNT(F19:J19)&gt;0,AVERAGE(F19:J19),"")))</f>
        <v/>
      </c>
      <c r="L19" s="86" t="str">
        <f>IF(JuecesPanel&gt;=7,"",IF((JuecesPanel+JuecesCalc)&lt;7,"",IF(COUNT(F19:K19)&gt;0,AVERAGE(F19:K19),"")))</f>
        <v/>
      </c>
      <c r="M19" s="86">
        <f t="shared" si="3"/>
        <v>4.8</v>
      </c>
      <c r="N19" s="86">
        <f t="shared" si="4"/>
        <v>3.2</v>
      </c>
      <c r="O19" s="95">
        <f t="shared" si="5"/>
        <v>3.7916666666666665</v>
      </c>
      <c r="P19" s="123">
        <f>IF(COUNT(F19:L19)&gt;0,O19*Obligatoria2GD,"")</f>
        <v>7.2041666666666657</v>
      </c>
      <c r="Q19" s="127"/>
      <c r="R19" s="125"/>
      <c r="S19" s="96"/>
    </row>
    <row r="20" spans="1:19" x14ac:dyDescent="0.3">
      <c r="A20" s="13" t="str">
        <f t="shared" ref="A20:A52" si="16">D20</f>
        <v>AQUASWIM</v>
      </c>
      <c r="B20" s="128">
        <v>7</v>
      </c>
      <c r="C20" s="154" t="s">
        <v>129</v>
      </c>
      <c r="D20" s="155" t="s">
        <v>117</v>
      </c>
      <c r="E20" s="129" t="s">
        <v>109</v>
      </c>
      <c r="F20" s="130" t="s">
        <v>109</v>
      </c>
      <c r="G20" s="131" t="s">
        <v>109</v>
      </c>
      <c r="H20" s="131" t="s">
        <v>109</v>
      </c>
      <c r="I20" s="131" t="s">
        <v>109</v>
      </c>
      <c r="J20" s="131" t="s">
        <v>109</v>
      </c>
      <c r="K20" s="131" t="s">
        <v>109</v>
      </c>
      <c r="L20" s="132" t="s">
        <v>109</v>
      </c>
      <c r="M20" s="133" t="str">
        <f t="shared" si="3"/>
        <v/>
      </c>
      <c r="N20" s="134" t="str">
        <f t="shared" si="4"/>
        <v/>
      </c>
      <c r="O20" s="135" t="str">
        <f t="shared" si="5"/>
        <v/>
      </c>
      <c r="P20" s="136" t="str">
        <f>IF(COUNT(F20:L20)&gt;0,O20*Obligatoria1GD,"")</f>
        <v/>
      </c>
      <c r="Q20" s="137"/>
      <c r="R20" s="138" t="str">
        <f>IF(COUNT(F20:L21)&gt;0,SUM(P20:P21),"")</f>
        <v/>
      </c>
      <c r="S20" s="139"/>
    </row>
    <row r="21" spans="1:19" x14ac:dyDescent="0.3">
      <c r="A21" s="13" t="str">
        <f t="shared" ref="A21:A53" si="17">D20</f>
        <v>AQUASWIM</v>
      </c>
      <c r="B21" s="141"/>
      <c r="C21" s="142"/>
      <c r="D21" s="143"/>
      <c r="E21" s="140" t="s">
        <v>109</v>
      </c>
      <c r="F21" s="144" t="s">
        <v>109</v>
      </c>
      <c r="G21" s="145" t="s">
        <v>109</v>
      </c>
      <c r="H21" s="145" t="s">
        <v>109</v>
      </c>
      <c r="I21" s="145" t="s">
        <v>109</v>
      </c>
      <c r="J21" s="145" t="s">
        <v>109</v>
      </c>
      <c r="K21" s="145" t="s">
        <v>109</v>
      </c>
      <c r="L21" s="146" t="s">
        <v>109</v>
      </c>
      <c r="M21" s="147" t="str">
        <f t="shared" si="3"/>
        <v/>
      </c>
      <c r="N21" s="148" t="str">
        <f t="shared" si="4"/>
        <v/>
      </c>
      <c r="O21" s="149" t="str">
        <f t="shared" si="5"/>
        <v/>
      </c>
      <c r="P21" s="150" t="str">
        <f>IF(COUNT(F21:L21)&gt;0,O21*Opcional2GD,"")</f>
        <v/>
      </c>
      <c r="Q21" s="151"/>
      <c r="R21" s="152"/>
      <c r="S21" s="153"/>
    </row>
    <row r="22" spans="1:19" x14ac:dyDescent="0.3">
      <c r="A22" s="13" t="str">
        <f t="shared" si="16"/>
        <v>AQUASWIM</v>
      </c>
      <c r="B22" s="83">
        <v>8</v>
      </c>
      <c r="C22" s="90" t="s">
        <v>130</v>
      </c>
      <c r="D22" s="89" t="s">
        <v>117</v>
      </c>
      <c r="E22" s="76">
        <f>Obligatoria1Cod</f>
        <v>1</v>
      </c>
      <c r="F22" s="97">
        <v>4.2</v>
      </c>
      <c r="G22" s="85">
        <v>4.2</v>
      </c>
      <c r="H22" s="85">
        <v>4.9000000000000004</v>
      </c>
      <c r="I22" s="85">
        <v>4.3</v>
      </c>
      <c r="J22" s="85">
        <f t="shared" ref="J22:J33" si="18">IF(JuecesPanel&gt;=5,"",IF((JuecesPanel+JuecesCalc)&lt;5,"",IF(COUNT(F22:I22)&gt;0,AVERAGE(F22:I22),"")))</f>
        <v>4.4000000000000004</v>
      </c>
      <c r="K22" s="85" t="str">
        <f t="shared" ref="K22:K33" si="19">IF(JuecesPanel&gt;=6,"",IF((JuecesPanel+JuecesCalc)&lt;6,"",IF(COUNT(F22:J22)&gt;0,AVERAGE(F22:J22),"")))</f>
        <v/>
      </c>
      <c r="L22" s="85" t="str">
        <f t="shared" ref="L22:L33" si="20">IF(JuecesPanel&gt;=7,"",IF((JuecesPanel+JuecesCalc)&lt;7,"",IF(COUNT(F22:K22)&gt;0,AVERAGE(F22:K22),"")))</f>
        <v/>
      </c>
      <c r="M22" s="84">
        <f t="shared" si="3"/>
        <v>4.9000000000000004</v>
      </c>
      <c r="N22" s="84">
        <f t="shared" si="4"/>
        <v>4.2</v>
      </c>
      <c r="O22" s="91">
        <f t="shared" si="5"/>
        <v>4.3</v>
      </c>
      <c r="P22" s="122">
        <f>IF(COUNT(F22:L22)&gt;0,O22*Obligatoria1GD,"")</f>
        <v>6.88</v>
      </c>
      <c r="Q22" s="126"/>
      <c r="R22" s="124">
        <f>IF(COUNT(F22:L23)&gt;0,SUM(P22:P23),"")</f>
        <v>14.210833333333333</v>
      </c>
      <c r="S22" s="92">
        <f>IF(COUNT(F22:L23)&gt;0,((R22/TotalGD)*10)-SUM(Q22:Q23),0)</f>
        <v>40.602380952380955</v>
      </c>
    </row>
    <row r="23" spans="1:19" x14ac:dyDescent="0.3">
      <c r="A23" s="13" t="str">
        <f t="shared" si="17"/>
        <v>AQUASWIM</v>
      </c>
      <c r="B23" s="93"/>
      <c r="C23" s="94"/>
      <c r="D23" s="93"/>
      <c r="E23" s="76">
        <f>Obligatoria2Cod</f>
        <v>2</v>
      </c>
      <c r="F23" s="88">
        <v>3.6</v>
      </c>
      <c r="G23" s="86">
        <v>4.2</v>
      </c>
      <c r="H23" s="86">
        <v>4.2</v>
      </c>
      <c r="I23" s="86">
        <v>3.1</v>
      </c>
      <c r="J23" s="86">
        <f t="shared" si="18"/>
        <v>3.7749999999999999</v>
      </c>
      <c r="K23" s="86" t="str">
        <f t="shared" si="19"/>
        <v/>
      </c>
      <c r="L23" s="86" t="str">
        <f t="shared" si="20"/>
        <v/>
      </c>
      <c r="M23" s="86">
        <f t="shared" si="3"/>
        <v>4.2</v>
      </c>
      <c r="N23" s="86">
        <f t="shared" si="4"/>
        <v>3.1</v>
      </c>
      <c r="O23" s="95">
        <f t="shared" si="5"/>
        <v>3.8583333333333329</v>
      </c>
      <c r="P23" s="123">
        <f>IF(COUNT(F23:L23)&gt;0,O23*Obligatoria2GD,"")</f>
        <v>7.3308333333333326</v>
      </c>
      <c r="Q23" s="127"/>
      <c r="R23" s="125"/>
      <c r="S23" s="96"/>
    </row>
    <row r="24" spans="1:19" hidden="1" x14ac:dyDescent="0.3">
      <c r="A24" s="13" t="str">
        <f t="shared" si="16"/>
        <v>ESTRELLAS DE ANTIOQUIA</v>
      </c>
      <c r="B24" s="83">
        <v>9</v>
      </c>
      <c r="C24" s="90" t="s">
        <v>131</v>
      </c>
      <c r="D24" s="89" t="s">
        <v>116</v>
      </c>
      <c r="E24" s="76">
        <f>Obligatoria1Cod</f>
        <v>1</v>
      </c>
      <c r="F24" s="97">
        <v>4.5999999999999996</v>
      </c>
      <c r="G24" s="85">
        <v>4.4000000000000004</v>
      </c>
      <c r="H24" s="85">
        <v>4.7</v>
      </c>
      <c r="I24" s="85">
        <v>4.0999999999999996</v>
      </c>
      <c r="J24" s="85">
        <f t="shared" si="18"/>
        <v>4.4499999999999993</v>
      </c>
      <c r="K24" s="85" t="str">
        <f t="shared" si="19"/>
        <v/>
      </c>
      <c r="L24" s="85" t="str">
        <f t="shared" si="20"/>
        <v/>
      </c>
      <c r="M24" s="84">
        <f t="shared" si="3"/>
        <v>4.7</v>
      </c>
      <c r="N24" s="84">
        <f t="shared" si="4"/>
        <v>4.0999999999999996</v>
      </c>
      <c r="O24" s="91">
        <f t="shared" si="5"/>
        <v>4.4833333333333316</v>
      </c>
      <c r="P24" s="122">
        <f>IF(COUNT(F24:L24)&gt;0,O24*Obligatoria1GD,"")</f>
        <v>7.1733333333333311</v>
      </c>
      <c r="Q24" s="126"/>
      <c r="R24" s="124">
        <f>IF(COUNT(F24:L25)&gt;0,SUM(P24:P25),"")</f>
        <v>14.963333333333331</v>
      </c>
      <c r="S24" s="92">
        <f>IF(COUNT(F24:L25)&gt;0,((R24/TotalGD)*10)-SUM(Q24:Q25),0)</f>
        <v>42.752380952380946</v>
      </c>
    </row>
    <row r="25" spans="1:19" hidden="1" x14ac:dyDescent="0.3">
      <c r="A25" s="13" t="str">
        <f t="shared" si="17"/>
        <v>ESTRELLAS DE ANTIOQUIA</v>
      </c>
      <c r="B25" s="93"/>
      <c r="C25" s="94"/>
      <c r="D25" s="93"/>
      <c r="E25" s="76">
        <f>Obligatoria2Cod</f>
        <v>2</v>
      </c>
      <c r="F25" s="88">
        <v>3.7</v>
      </c>
      <c r="G25" s="86">
        <v>4.7</v>
      </c>
      <c r="H25" s="86">
        <v>4.5999999999999996</v>
      </c>
      <c r="I25" s="86">
        <v>3</v>
      </c>
      <c r="J25" s="86">
        <f t="shared" si="18"/>
        <v>4</v>
      </c>
      <c r="K25" s="86" t="str">
        <f t="shared" si="19"/>
        <v/>
      </c>
      <c r="L25" s="86" t="str">
        <f t="shared" si="20"/>
        <v/>
      </c>
      <c r="M25" s="86">
        <f t="shared" si="3"/>
        <v>4.7</v>
      </c>
      <c r="N25" s="86">
        <f t="shared" si="4"/>
        <v>3</v>
      </c>
      <c r="O25" s="95">
        <f t="shared" si="5"/>
        <v>4.1000000000000005</v>
      </c>
      <c r="P25" s="123">
        <f>IF(COUNT(F25:L25)&gt;0,O25*Obligatoria2GD,"")</f>
        <v>7.7900000000000009</v>
      </c>
      <c r="Q25" s="127"/>
      <c r="R25" s="125"/>
      <c r="S25" s="96"/>
    </row>
    <row r="26" spans="1:19" hidden="1" x14ac:dyDescent="0.3">
      <c r="A26" s="13" t="str">
        <f t="shared" si="16"/>
        <v>SINCROANTIOQUIA NADO</v>
      </c>
      <c r="B26" s="83">
        <v>10</v>
      </c>
      <c r="C26" s="90" t="s">
        <v>132</v>
      </c>
      <c r="D26" s="89" t="s">
        <v>118</v>
      </c>
      <c r="E26" s="76">
        <f>Obligatoria1Cod</f>
        <v>1</v>
      </c>
      <c r="F26" s="97">
        <v>4</v>
      </c>
      <c r="G26" s="85">
        <v>3.9</v>
      </c>
      <c r="H26" s="85">
        <v>4.3</v>
      </c>
      <c r="I26" s="85">
        <v>4.5</v>
      </c>
      <c r="J26" s="85">
        <f t="shared" si="18"/>
        <v>4.1749999999999998</v>
      </c>
      <c r="K26" s="85" t="str">
        <f t="shared" si="19"/>
        <v/>
      </c>
      <c r="L26" s="85" t="str">
        <f t="shared" si="20"/>
        <v/>
      </c>
      <c r="M26" s="84">
        <f t="shared" si="3"/>
        <v>4.5</v>
      </c>
      <c r="N26" s="84">
        <f t="shared" si="4"/>
        <v>3.9</v>
      </c>
      <c r="O26" s="91">
        <f t="shared" si="5"/>
        <v>4.1583333333333332</v>
      </c>
      <c r="P26" s="122">
        <f>IF(COUNT(F26:L26)&gt;0,O26*Obligatoria1GD,"")</f>
        <v>6.6533333333333333</v>
      </c>
      <c r="Q26" s="126"/>
      <c r="R26" s="124">
        <f>IF(COUNT(F26:L27)&gt;0,SUM(P26:P27),"")</f>
        <v>13.461666666666666</v>
      </c>
      <c r="S26" s="92">
        <f>IF(COUNT(F26:L27)&gt;0,((R26/TotalGD)*10)-SUM(Q26:Q27),0)</f>
        <v>38.461904761904762</v>
      </c>
    </row>
    <row r="27" spans="1:19" hidden="1" x14ac:dyDescent="0.3">
      <c r="A27" s="13" t="str">
        <f t="shared" si="17"/>
        <v>SINCROANTIOQUIA NADO</v>
      </c>
      <c r="B27" s="93"/>
      <c r="C27" s="94"/>
      <c r="D27" s="93"/>
      <c r="E27" s="76">
        <f>Obligatoria2Cod</f>
        <v>2</v>
      </c>
      <c r="F27" s="88">
        <v>3.2</v>
      </c>
      <c r="G27" s="86">
        <v>4.3</v>
      </c>
      <c r="H27" s="86">
        <v>3.8</v>
      </c>
      <c r="I27" s="86">
        <v>3.3</v>
      </c>
      <c r="J27" s="86">
        <f t="shared" si="18"/>
        <v>3.6500000000000004</v>
      </c>
      <c r="K27" s="86" t="str">
        <f t="shared" si="19"/>
        <v/>
      </c>
      <c r="L27" s="86" t="str">
        <f t="shared" si="20"/>
        <v/>
      </c>
      <c r="M27" s="86">
        <f t="shared" si="3"/>
        <v>4.3</v>
      </c>
      <c r="N27" s="86">
        <f t="shared" si="4"/>
        <v>3.2</v>
      </c>
      <c r="O27" s="95">
        <f t="shared" si="5"/>
        <v>3.5833333333333335</v>
      </c>
      <c r="P27" s="123">
        <f>IF(COUNT(F27:L27)&gt;0,O27*Obligatoria2GD,"")</f>
        <v>6.8083333333333336</v>
      </c>
      <c r="Q27" s="127"/>
      <c r="R27" s="125"/>
      <c r="S27" s="96"/>
    </row>
    <row r="28" spans="1:19" hidden="1" x14ac:dyDescent="0.3">
      <c r="A28" s="13" t="str">
        <f t="shared" si="16"/>
        <v>ESTRELLAS DE ANTIOQUIA</v>
      </c>
      <c r="B28" s="83">
        <v>11</v>
      </c>
      <c r="C28" s="90" t="s">
        <v>133</v>
      </c>
      <c r="D28" s="89" t="s">
        <v>116</v>
      </c>
      <c r="E28" s="76">
        <f>Obligatoria1Cod</f>
        <v>1</v>
      </c>
      <c r="F28" s="97">
        <v>3.6</v>
      </c>
      <c r="G28" s="85">
        <v>3.2</v>
      </c>
      <c r="H28" s="85">
        <v>3.7</v>
      </c>
      <c r="I28" s="85">
        <v>4.2</v>
      </c>
      <c r="J28" s="85">
        <f t="shared" si="18"/>
        <v>3.6749999999999998</v>
      </c>
      <c r="K28" s="85" t="str">
        <f t="shared" si="19"/>
        <v/>
      </c>
      <c r="L28" s="85" t="str">
        <f t="shared" si="20"/>
        <v/>
      </c>
      <c r="M28" s="84">
        <f t="shared" si="3"/>
        <v>4.2</v>
      </c>
      <c r="N28" s="84">
        <f t="shared" si="4"/>
        <v>3.2</v>
      </c>
      <c r="O28" s="91">
        <f t="shared" si="5"/>
        <v>3.6583333333333332</v>
      </c>
      <c r="P28" s="122">
        <f>IF(COUNT(F28:L28)&gt;0,O28*Obligatoria1GD,"")</f>
        <v>5.8533333333333335</v>
      </c>
      <c r="Q28" s="126"/>
      <c r="R28" s="124">
        <f>IF(COUNT(F28:L29)&gt;0,SUM(P28:P29),"")</f>
        <v>12.344999999999999</v>
      </c>
      <c r="S28" s="92">
        <f>IF(COUNT(F28:L29)&gt;0,((R28/TotalGD)*10)-SUM(Q28:Q29),0)</f>
        <v>35.271428571428565</v>
      </c>
    </row>
    <row r="29" spans="1:19" hidden="1" x14ac:dyDescent="0.3">
      <c r="A29" s="13" t="str">
        <f t="shared" si="17"/>
        <v>ESTRELLAS DE ANTIOQUIA</v>
      </c>
      <c r="B29" s="93"/>
      <c r="C29" s="94"/>
      <c r="D29" s="93"/>
      <c r="E29" s="76">
        <f>Obligatoria2Cod</f>
        <v>2</v>
      </c>
      <c r="F29" s="88">
        <v>3</v>
      </c>
      <c r="G29" s="86">
        <v>3.8</v>
      </c>
      <c r="H29" s="86">
        <v>4.0999999999999996</v>
      </c>
      <c r="I29" s="86">
        <v>2.9</v>
      </c>
      <c r="J29" s="86">
        <f t="shared" si="18"/>
        <v>3.4499999999999997</v>
      </c>
      <c r="K29" s="86" t="str">
        <f t="shared" si="19"/>
        <v/>
      </c>
      <c r="L29" s="86" t="str">
        <f t="shared" si="20"/>
        <v/>
      </c>
      <c r="M29" s="86">
        <f t="shared" si="3"/>
        <v>4.0999999999999996</v>
      </c>
      <c r="N29" s="86">
        <f t="shared" si="4"/>
        <v>2.9</v>
      </c>
      <c r="O29" s="95">
        <f t="shared" si="5"/>
        <v>3.4166666666666665</v>
      </c>
      <c r="P29" s="123">
        <f>IF(COUNT(F29:L29)&gt;0,O29*Obligatoria2GD,"")</f>
        <v>6.4916666666666663</v>
      </c>
      <c r="Q29" s="127"/>
      <c r="R29" s="125"/>
      <c r="S29" s="96"/>
    </row>
    <row r="30" spans="1:19" hidden="1" x14ac:dyDescent="0.3">
      <c r="A30" s="13" t="str">
        <f t="shared" si="16"/>
        <v>SINCROANTIOQUIA NADO</v>
      </c>
      <c r="B30" s="83">
        <v>12</v>
      </c>
      <c r="C30" s="90" t="s">
        <v>134</v>
      </c>
      <c r="D30" s="89" t="s">
        <v>118</v>
      </c>
      <c r="E30" s="76">
        <f>Obligatoria1Cod</f>
        <v>1</v>
      </c>
      <c r="F30" s="97">
        <v>3</v>
      </c>
      <c r="G30" s="85">
        <v>3.5</v>
      </c>
      <c r="H30" s="85">
        <v>3.9</v>
      </c>
      <c r="I30" s="85">
        <v>3.8</v>
      </c>
      <c r="J30" s="85">
        <f t="shared" si="18"/>
        <v>3.55</v>
      </c>
      <c r="K30" s="85" t="str">
        <f t="shared" si="19"/>
        <v/>
      </c>
      <c r="L30" s="85" t="str">
        <f t="shared" si="20"/>
        <v/>
      </c>
      <c r="M30" s="84">
        <f t="shared" si="3"/>
        <v>3.9</v>
      </c>
      <c r="N30" s="84">
        <f t="shared" si="4"/>
        <v>3</v>
      </c>
      <c r="O30" s="91">
        <f t="shared" si="5"/>
        <v>3.6166666666666667</v>
      </c>
      <c r="P30" s="122">
        <f>IF(COUNT(F30:L30)&gt;0,O30*Obligatoria1GD,"")</f>
        <v>5.7866666666666671</v>
      </c>
      <c r="Q30" s="126"/>
      <c r="R30" s="124">
        <f>IF(COUNT(F30:L31)&gt;0,SUM(P30:P31),"")</f>
        <v>11.3125</v>
      </c>
      <c r="S30" s="92">
        <f>IF(COUNT(F30:L31)&gt;0,((R30/TotalGD)*10)-SUM(Q30:Q31),0)</f>
        <v>32.321428571428569</v>
      </c>
    </row>
    <row r="31" spans="1:19" hidden="1" x14ac:dyDescent="0.3">
      <c r="A31" s="13" t="str">
        <f t="shared" si="17"/>
        <v>SINCROANTIOQUIA NADO</v>
      </c>
      <c r="B31" s="93"/>
      <c r="C31" s="94"/>
      <c r="D31" s="93"/>
      <c r="E31" s="76">
        <f>Obligatoria2Cod</f>
        <v>2</v>
      </c>
      <c r="F31" s="88">
        <v>2</v>
      </c>
      <c r="G31" s="86">
        <v>3</v>
      </c>
      <c r="H31" s="86">
        <v>2.9</v>
      </c>
      <c r="I31" s="86">
        <v>3.4</v>
      </c>
      <c r="J31" s="86">
        <f t="shared" si="18"/>
        <v>2.8250000000000002</v>
      </c>
      <c r="K31" s="86" t="str">
        <f t="shared" si="19"/>
        <v/>
      </c>
      <c r="L31" s="86" t="str">
        <f t="shared" si="20"/>
        <v/>
      </c>
      <c r="M31" s="86">
        <f t="shared" si="3"/>
        <v>3.4</v>
      </c>
      <c r="N31" s="86">
        <f t="shared" si="4"/>
        <v>2</v>
      </c>
      <c r="O31" s="95">
        <f t="shared" si="5"/>
        <v>2.9083333333333332</v>
      </c>
      <c r="P31" s="123">
        <f>IF(COUNT(F31:L31)&gt;0,O31*Obligatoria2GD,"")</f>
        <v>5.5258333333333329</v>
      </c>
      <c r="Q31" s="127"/>
      <c r="R31" s="125"/>
      <c r="S31" s="96"/>
    </row>
    <row r="32" spans="1:19" hidden="1" x14ac:dyDescent="0.3">
      <c r="A32" s="13" t="str">
        <f t="shared" si="16"/>
        <v>SINCROANTIOQUIA NADO</v>
      </c>
      <c r="B32" s="83">
        <v>13</v>
      </c>
      <c r="C32" s="90" t="s">
        <v>135</v>
      </c>
      <c r="D32" s="89" t="s">
        <v>118</v>
      </c>
      <c r="E32" s="76">
        <f>Obligatoria1Cod</f>
        <v>1</v>
      </c>
      <c r="F32" s="97">
        <v>3.9</v>
      </c>
      <c r="G32" s="85">
        <v>4.5</v>
      </c>
      <c r="H32" s="85">
        <v>4.8</v>
      </c>
      <c r="I32" s="85">
        <v>3.7</v>
      </c>
      <c r="J32" s="85">
        <f t="shared" si="18"/>
        <v>4.2249999999999996</v>
      </c>
      <c r="K32" s="85" t="str">
        <f t="shared" si="19"/>
        <v/>
      </c>
      <c r="L32" s="85" t="str">
        <f t="shared" si="20"/>
        <v/>
      </c>
      <c r="M32" s="84">
        <f t="shared" si="3"/>
        <v>4.8</v>
      </c>
      <c r="N32" s="84">
        <f t="shared" si="4"/>
        <v>3.7</v>
      </c>
      <c r="O32" s="91">
        <f t="shared" si="5"/>
        <v>4.208333333333333</v>
      </c>
      <c r="P32" s="122">
        <f>IF(COUNT(F32:L32)&gt;0,O32*Obligatoria1GD,"")</f>
        <v>6.7333333333333334</v>
      </c>
      <c r="Q32" s="126"/>
      <c r="R32" s="124">
        <f>IF(COUNT(F32:L33)&gt;0,SUM(P32:P33),"")</f>
        <v>13.399166666666666</v>
      </c>
      <c r="S32" s="92">
        <f>IF(COUNT(F32:L33)&gt;0,((R32/TotalGD)*10)-SUM(Q32:Q33),0)</f>
        <v>38.283333333333331</v>
      </c>
    </row>
    <row r="33" spans="1:19" hidden="1" x14ac:dyDescent="0.3">
      <c r="A33" s="13" t="str">
        <f t="shared" si="17"/>
        <v>SINCROANTIOQUIA NADO</v>
      </c>
      <c r="B33" s="93"/>
      <c r="C33" s="94"/>
      <c r="D33" s="93"/>
      <c r="E33" s="76">
        <f>Obligatoria2Cod</f>
        <v>2</v>
      </c>
      <c r="F33" s="88">
        <v>3.3</v>
      </c>
      <c r="G33" s="86">
        <v>4.5999999999999996</v>
      </c>
      <c r="H33" s="86">
        <v>3.9</v>
      </c>
      <c r="I33" s="86">
        <v>1.5</v>
      </c>
      <c r="J33" s="86">
        <f t="shared" si="18"/>
        <v>3.3249999999999997</v>
      </c>
      <c r="K33" s="86" t="str">
        <f t="shared" si="19"/>
        <v/>
      </c>
      <c r="L33" s="86" t="str">
        <f t="shared" si="20"/>
        <v/>
      </c>
      <c r="M33" s="86">
        <f t="shared" si="3"/>
        <v>4.5999999999999996</v>
      </c>
      <c r="N33" s="86">
        <f t="shared" si="4"/>
        <v>1.5</v>
      </c>
      <c r="O33" s="95">
        <f t="shared" si="5"/>
        <v>3.5083333333333333</v>
      </c>
      <c r="P33" s="123">
        <f>IF(COUNT(F33:L33)&gt;0,O33*Obligatoria2GD,"")</f>
        <v>6.6658333333333326</v>
      </c>
      <c r="Q33" s="127"/>
      <c r="R33" s="125"/>
      <c r="S33" s="96"/>
    </row>
    <row r="34" spans="1:19" hidden="1" x14ac:dyDescent="0.3">
      <c r="A34" s="13" t="str">
        <f t="shared" si="16"/>
        <v>SINCROANTIOQUIA NADO</v>
      </c>
      <c r="B34" s="128">
        <v>14</v>
      </c>
      <c r="C34" s="154" t="s">
        <v>136</v>
      </c>
      <c r="D34" s="155" t="s">
        <v>118</v>
      </c>
      <c r="E34" s="129" t="s">
        <v>109</v>
      </c>
      <c r="F34" s="130" t="s">
        <v>109</v>
      </c>
      <c r="G34" s="131" t="s">
        <v>109</v>
      </c>
      <c r="H34" s="131" t="s">
        <v>109</v>
      </c>
      <c r="I34" s="131" t="s">
        <v>109</v>
      </c>
      <c r="J34" s="131" t="s">
        <v>109</v>
      </c>
      <c r="K34" s="131" t="s">
        <v>109</v>
      </c>
      <c r="L34" s="132" t="s">
        <v>109</v>
      </c>
      <c r="M34" s="133" t="str">
        <f t="shared" si="3"/>
        <v/>
      </c>
      <c r="N34" s="134" t="str">
        <f t="shared" si="4"/>
        <v/>
      </c>
      <c r="O34" s="135" t="str">
        <f t="shared" si="5"/>
        <v/>
      </c>
      <c r="P34" s="136" t="str">
        <f>IF(COUNT(F34:L34)&gt;0,O34*Obligatoria1GD,"")</f>
        <v/>
      </c>
      <c r="Q34" s="137"/>
      <c r="R34" s="138" t="str">
        <f>IF(COUNT(F34:L35)&gt;0,SUM(P34:P35),"")</f>
        <v/>
      </c>
      <c r="S34" s="139"/>
    </row>
    <row r="35" spans="1:19" hidden="1" x14ac:dyDescent="0.3">
      <c r="A35" s="13" t="str">
        <f t="shared" si="17"/>
        <v>SINCROANTIOQUIA NADO</v>
      </c>
      <c r="B35" s="141"/>
      <c r="C35" s="142"/>
      <c r="D35" s="143"/>
      <c r="E35" s="140" t="s">
        <v>109</v>
      </c>
      <c r="F35" s="144" t="s">
        <v>109</v>
      </c>
      <c r="G35" s="145" t="s">
        <v>109</v>
      </c>
      <c r="H35" s="145" t="s">
        <v>109</v>
      </c>
      <c r="I35" s="145" t="s">
        <v>109</v>
      </c>
      <c r="J35" s="145" t="s">
        <v>109</v>
      </c>
      <c r="K35" s="145" t="s">
        <v>109</v>
      </c>
      <c r="L35" s="146" t="s">
        <v>109</v>
      </c>
      <c r="M35" s="147" t="str">
        <f t="shared" si="3"/>
        <v/>
      </c>
      <c r="N35" s="148" t="str">
        <f t="shared" si="4"/>
        <v/>
      </c>
      <c r="O35" s="149" t="str">
        <f t="shared" si="5"/>
        <v/>
      </c>
      <c r="P35" s="150" t="str">
        <f>IF(COUNT(F35:L35)&gt;0,O35*Opcional2GD,"")</f>
        <v/>
      </c>
      <c r="Q35" s="151"/>
      <c r="R35" s="152"/>
      <c r="S35" s="153"/>
    </row>
    <row r="36" spans="1:19" x14ac:dyDescent="0.3">
      <c r="A36" s="13" t="str">
        <f t="shared" si="16"/>
        <v>AQUASWIM</v>
      </c>
      <c r="B36" s="83">
        <v>15</v>
      </c>
      <c r="C36" s="90" t="s">
        <v>137</v>
      </c>
      <c r="D36" s="89" t="s">
        <v>117</v>
      </c>
      <c r="E36" s="76">
        <f>Obligatoria1Cod</f>
        <v>1</v>
      </c>
      <c r="F36" s="97">
        <v>4.0999999999999996</v>
      </c>
      <c r="G36" s="85">
        <v>4.9000000000000004</v>
      </c>
      <c r="H36" s="85">
        <v>4.3</v>
      </c>
      <c r="I36" s="85">
        <v>4</v>
      </c>
      <c r="J36" s="85">
        <f t="shared" ref="J36:J53" si="21">IF(JuecesPanel&gt;=5,"",IF((JuecesPanel+JuecesCalc)&lt;5,"",IF(COUNT(F36:I36)&gt;0,AVERAGE(F36:I36),"")))</f>
        <v>4.3250000000000002</v>
      </c>
      <c r="K36" s="85" t="str">
        <f t="shared" ref="K36:K53" si="22">IF(JuecesPanel&gt;=6,"",IF((JuecesPanel+JuecesCalc)&lt;6,"",IF(COUNT(F36:J36)&gt;0,AVERAGE(F36:J36),"")))</f>
        <v/>
      </c>
      <c r="L36" s="85" t="str">
        <f t="shared" ref="L36:L53" si="23">IF(JuecesPanel&gt;=7,"",IF((JuecesPanel+JuecesCalc)&lt;7,"",IF(COUNT(F36:K36)&gt;0,AVERAGE(F36:K36),"")))</f>
        <v/>
      </c>
      <c r="M36" s="84">
        <f t="shared" si="3"/>
        <v>4.9000000000000004</v>
      </c>
      <c r="N36" s="84">
        <f t="shared" si="4"/>
        <v>4</v>
      </c>
      <c r="O36" s="91">
        <f t="shared" si="5"/>
        <v>4.2416666666666663</v>
      </c>
      <c r="P36" s="122">
        <f>IF(COUNT(F36:L36)&gt;0,O36*Obligatoria1GD,"")</f>
        <v>6.7866666666666662</v>
      </c>
      <c r="Q36" s="126"/>
      <c r="R36" s="124">
        <f>IF(COUNT(F36:L37)&gt;0,SUM(P36:P37),"")</f>
        <v>14.291666666666664</v>
      </c>
      <c r="S36" s="92">
        <f>IF(COUNT(F36:L37)&gt;0,((R36/TotalGD)*10)-SUM(Q36:Q37),0)</f>
        <v>40.833333333333329</v>
      </c>
    </row>
    <row r="37" spans="1:19" x14ac:dyDescent="0.3">
      <c r="A37" s="13" t="str">
        <f t="shared" si="17"/>
        <v>AQUASWIM</v>
      </c>
      <c r="B37" s="93"/>
      <c r="C37" s="94"/>
      <c r="D37" s="93"/>
      <c r="E37" s="76">
        <f>Obligatoria2Cod</f>
        <v>2</v>
      </c>
      <c r="F37" s="88">
        <v>3.4</v>
      </c>
      <c r="G37" s="86">
        <v>4.5</v>
      </c>
      <c r="H37" s="86">
        <v>4.3</v>
      </c>
      <c r="I37" s="86">
        <v>3.6</v>
      </c>
      <c r="J37" s="86">
        <f t="shared" si="21"/>
        <v>3.9499999999999997</v>
      </c>
      <c r="K37" s="86" t="str">
        <f t="shared" si="22"/>
        <v/>
      </c>
      <c r="L37" s="86" t="str">
        <f t="shared" si="23"/>
        <v/>
      </c>
      <c r="M37" s="86">
        <f t="shared" si="3"/>
        <v>4.5</v>
      </c>
      <c r="N37" s="86">
        <f t="shared" si="4"/>
        <v>3.4</v>
      </c>
      <c r="O37" s="95">
        <f t="shared" si="5"/>
        <v>3.9499999999999997</v>
      </c>
      <c r="P37" s="123">
        <f>IF(COUNT(F37:L37)&gt;0,O37*Obligatoria2GD,"")</f>
        <v>7.504999999999999</v>
      </c>
      <c r="Q37" s="127"/>
      <c r="R37" s="125"/>
      <c r="S37" s="96"/>
    </row>
    <row r="38" spans="1:19" hidden="1" x14ac:dyDescent="0.3">
      <c r="A38" s="13" t="str">
        <f t="shared" si="16"/>
        <v>ESTRELLAS DE ANTIOQUIA</v>
      </c>
      <c r="B38" s="83">
        <v>16</v>
      </c>
      <c r="C38" s="90" t="s">
        <v>138</v>
      </c>
      <c r="D38" s="89" t="s">
        <v>116</v>
      </c>
      <c r="E38" s="76">
        <f>Obligatoria1Cod</f>
        <v>1</v>
      </c>
      <c r="F38" s="97">
        <v>5</v>
      </c>
      <c r="G38" s="85">
        <v>4.8</v>
      </c>
      <c r="H38" s="85">
        <v>4.5</v>
      </c>
      <c r="I38" s="85">
        <v>4.2</v>
      </c>
      <c r="J38" s="85">
        <f t="shared" si="21"/>
        <v>4.625</v>
      </c>
      <c r="K38" s="85" t="str">
        <f t="shared" si="22"/>
        <v/>
      </c>
      <c r="L38" s="85" t="str">
        <f t="shared" si="23"/>
        <v/>
      </c>
      <c r="M38" s="84">
        <f t="shared" si="3"/>
        <v>5</v>
      </c>
      <c r="N38" s="84">
        <f t="shared" si="4"/>
        <v>4.2</v>
      </c>
      <c r="O38" s="91">
        <f t="shared" si="5"/>
        <v>4.6416666666666666</v>
      </c>
      <c r="P38" s="122">
        <f>IF(COUNT(F38:L38)&gt;0,O38*Obligatoria1GD,"")</f>
        <v>7.4266666666666667</v>
      </c>
      <c r="Q38" s="126"/>
      <c r="R38" s="124">
        <f>IF(COUNT(F38:L39)&gt;0,SUM(P38:P39),"")</f>
        <v>14.7575</v>
      </c>
      <c r="S38" s="92">
        <f>IF(COUNT(F38:L39)&gt;0,((R38/TotalGD)*10)-SUM(Q38:Q39),0)</f>
        <v>42.164285714285718</v>
      </c>
    </row>
    <row r="39" spans="1:19" hidden="1" x14ac:dyDescent="0.3">
      <c r="A39" s="13" t="str">
        <f t="shared" si="17"/>
        <v>ESTRELLAS DE ANTIOQUIA</v>
      </c>
      <c r="B39" s="93"/>
      <c r="C39" s="94"/>
      <c r="D39" s="93"/>
      <c r="E39" s="76">
        <f>Obligatoria2Cod</f>
        <v>2</v>
      </c>
      <c r="F39" s="88">
        <v>3.4</v>
      </c>
      <c r="G39" s="86">
        <v>4.2</v>
      </c>
      <c r="H39" s="86">
        <v>4.4000000000000004</v>
      </c>
      <c r="I39" s="86">
        <v>3.5</v>
      </c>
      <c r="J39" s="86">
        <f t="shared" si="21"/>
        <v>3.875</v>
      </c>
      <c r="K39" s="86" t="str">
        <f t="shared" si="22"/>
        <v/>
      </c>
      <c r="L39" s="86" t="str">
        <f t="shared" si="23"/>
        <v/>
      </c>
      <c r="M39" s="86">
        <f t="shared" si="3"/>
        <v>4.4000000000000004</v>
      </c>
      <c r="N39" s="86">
        <f t="shared" si="4"/>
        <v>3.4</v>
      </c>
      <c r="O39" s="95">
        <f t="shared" si="5"/>
        <v>3.8583333333333329</v>
      </c>
      <c r="P39" s="123">
        <f>IF(COUNT(F39:L39)&gt;0,O39*Obligatoria2GD,"")</f>
        <v>7.3308333333333326</v>
      </c>
      <c r="Q39" s="127"/>
      <c r="R39" s="125"/>
      <c r="S39" s="96"/>
    </row>
    <row r="40" spans="1:19" hidden="1" x14ac:dyDescent="0.3">
      <c r="A40" s="13" t="str">
        <f t="shared" si="16"/>
        <v>TRANSFERENCIA</v>
      </c>
      <c r="B40" s="83">
        <v>17</v>
      </c>
      <c r="C40" s="90" t="s">
        <v>139</v>
      </c>
      <c r="D40" s="89" t="s">
        <v>140</v>
      </c>
      <c r="E40" s="76">
        <f>Obligatoria1Cod</f>
        <v>1</v>
      </c>
      <c r="F40" s="97">
        <v>4.7</v>
      </c>
      <c r="G40" s="85">
        <v>5.3</v>
      </c>
      <c r="H40" s="85">
        <v>5.2</v>
      </c>
      <c r="I40" s="85">
        <v>4.4000000000000004</v>
      </c>
      <c r="J40" s="85">
        <f t="shared" si="21"/>
        <v>4.9000000000000004</v>
      </c>
      <c r="K40" s="85" t="str">
        <f t="shared" si="22"/>
        <v/>
      </c>
      <c r="L40" s="85" t="str">
        <f t="shared" si="23"/>
        <v/>
      </c>
      <c r="M40" s="84">
        <f t="shared" si="3"/>
        <v>5.3</v>
      </c>
      <c r="N40" s="84">
        <f t="shared" si="4"/>
        <v>4.4000000000000004</v>
      </c>
      <c r="O40" s="91">
        <f t="shared" si="5"/>
        <v>4.9333333333333336</v>
      </c>
      <c r="P40" s="122">
        <f>IF(COUNT(F40:L40)&gt;0,O40*Obligatoria1GD,"")</f>
        <v>7.8933333333333344</v>
      </c>
      <c r="Q40" s="126"/>
      <c r="R40" s="124">
        <f>IF(COUNT(F40:L41)&gt;0,SUM(P40:P41),"")</f>
        <v>15.699166666666667</v>
      </c>
      <c r="S40" s="92">
        <f>IF(COUNT(F40:L41)&gt;0,((R40/TotalGD)*10)-SUM(Q40:Q41),0)</f>
        <v>44.854761904761908</v>
      </c>
    </row>
    <row r="41" spans="1:19" hidden="1" x14ac:dyDescent="0.3">
      <c r="A41" s="13" t="str">
        <f t="shared" si="17"/>
        <v>TRANSFERENCIA</v>
      </c>
      <c r="B41" s="93"/>
      <c r="C41" s="94"/>
      <c r="D41" s="93"/>
      <c r="E41" s="76">
        <f>Obligatoria2Cod</f>
        <v>2</v>
      </c>
      <c r="F41" s="88">
        <v>3.7</v>
      </c>
      <c r="G41" s="86">
        <v>4.9000000000000004</v>
      </c>
      <c r="H41" s="86">
        <v>4.5</v>
      </c>
      <c r="I41" s="86">
        <v>3.4</v>
      </c>
      <c r="J41" s="86">
        <f t="shared" si="21"/>
        <v>4.125</v>
      </c>
      <c r="K41" s="86" t="str">
        <f t="shared" si="22"/>
        <v/>
      </c>
      <c r="L41" s="86" t="str">
        <f t="shared" si="23"/>
        <v/>
      </c>
      <c r="M41" s="86">
        <f t="shared" si="3"/>
        <v>4.9000000000000004</v>
      </c>
      <c r="N41" s="86">
        <f t="shared" si="4"/>
        <v>3.4</v>
      </c>
      <c r="O41" s="95">
        <f t="shared" si="5"/>
        <v>4.1083333333333334</v>
      </c>
      <c r="P41" s="123">
        <f>IF(COUNT(F41:L41)&gt;0,O41*Obligatoria2GD,"")</f>
        <v>7.8058333333333332</v>
      </c>
      <c r="Q41" s="127"/>
      <c r="R41" s="125"/>
      <c r="S41" s="96"/>
    </row>
    <row r="42" spans="1:19" hidden="1" x14ac:dyDescent="0.3">
      <c r="A42" s="13" t="str">
        <f t="shared" si="16"/>
        <v>SINCROANTIOQUIA NADO</v>
      </c>
      <c r="B42" s="83">
        <v>18</v>
      </c>
      <c r="C42" s="90" t="s">
        <v>141</v>
      </c>
      <c r="D42" s="89" t="s">
        <v>118</v>
      </c>
      <c r="E42" s="76">
        <f>Obligatoria1Cod</f>
        <v>1</v>
      </c>
      <c r="F42" s="97">
        <v>3.5</v>
      </c>
      <c r="G42" s="85">
        <v>4.3</v>
      </c>
      <c r="H42" s="85">
        <v>4.2</v>
      </c>
      <c r="I42" s="85">
        <v>3.6</v>
      </c>
      <c r="J42" s="85">
        <f t="shared" si="21"/>
        <v>3.9</v>
      </c>
      <c r="K42" s="85" t="str">
        <f t="shared" si="22"/>
        <v/>
      </c>
      <c r="L42" s="85" t="str">
        <f t="shared" si="23"/>
        <v/>
      </c>
      <c r="M42" s="84">
        <f t="shared" si="3"/>
        <v>4.3</v>
      </c>
      <c r="N42" s="84">
        <f t="shared" si="4"/>
        <v>3.5</v>
      </c>
      <c r="O42" s="91">
        <f t="shared" si="5"/>
        <v>3.9</v>
      </c>
      <c r="P42" s="122">
        <f>IF(COUNT(F42:L42)&gt;0,O42*Obligatoria1GD,"")</f>
        <v>6.24</v>
      </c>
      <c r="Q42" s="126"/>
      <c r="R42" s="124">
        <f>IF(COUNT(F42:L43)&gt;0,SUM(P42:P43),"")</f>
        <v>12.541666666666666</v>
      </c>
      <c r="S42" s="92">
        <f>IF(COUNT(F42:L43)&gt;0,((R42/TotalGD)*10)-SUM(Q42:Q43),0)</f>
        <v>35.833333333333329</v>
      </c>
    </row>
    <row r="43" spans="1:19" hidden="1" x14ac:dyDescent="0.3">
      <c r="A43" s="13" t="str">
        <f t="shared" si="17"/>
        <v>SINCROANTIOQUIA NADO</v>
      </c>
      <c r="B43" s="93"/>
      <c r="C43" s="94"/>
      <c r="D43" s="93"/>
      <c r="E43" s="76">
        <f>Obligatoria2Cod</f>
        <v>2</v>
      </c>
      <c r="F43" s="88">
        <v>2.5</v>
      </c>
      <c r="G43" s="86">
        <v>3.5</v>
      </c>
      <c r="H43" s="86">
        <v>3</v>
      </c>
      <c r="I43" s="86">
        <v>4.8</v>
      </c>
      <c r="J43" s="86">
        <f t="shared" si="21"/>
        <v>3.45</v>
      </c>
      <c r="K43" s="86" t="str">
        <f t="shared" si="22"/>
        <v/>
      </c>
      <c r="L43" s="86" t="str">
        <f t="shared" si="23"/>
        <v/>
      </c>
      <c r="M43" s="86">
        <f t="shared" si="3"/>
        <v>4.8</v>
      </c>
      <c r="N43" s="86">
        <f t="shared" si="4"/>
        <v>2.5</v>
      </c>
      <c r="O43" s="95">
        <f t="shared" si="5"/>
        <v>3.3166666666666664</v>
      </c>
      <c r="P43" s="123">
        <f>IF(COUNT(F43:L43)&gt;0,O43*Obligatoria2GD,"")</f>
        <v>6.3016666666666659</v>
      </c>
      <c r="Q43" s="127"/>
      <c r="R43" s="125"/>
      <c r="S43" s="96"/>
    </row>
    <row r="44" spans="1:19" hidden="1" x14ac:dyDescent="0.3">
      <c r="A44" s="13" t="str">
        <f t="shared" si="16"/>
        <v>SINCROANTIOQUIA NADO</v>
      </c>
      <c r="B44" s="83">
        <v>19</v>
      </c>
      <c r="C44" s="90" t="s">
        <v>142</v>
      </c>
      <c r="D44" s="89" t="s">
        <v>118</v>
      </c>
      <c r="E44" s="76">
        <f>Obligatoria1Cod</f>
        <v>1</v>
      </c>
      <c r="F44" s="97">
        <v>4.5999999999999996</v>
      </c>
      <c r="G44" s="85">
        <v>4.5999999999999996</v>
      </c>
      <c r="H44" s="85">
        <v>4.4000000000000004</v>
      </c>
      <c r="I44" s="85">
        <v>4.8</v>
      </c>
      <c r="J44" s="85">
        <f t="shared" si="21"/>
        <v>4.5999999999999996</v>
      </c>
      <c r="K44" s="85" t="str">
        <f t="shared" si="22"/>
        <v/>
      </c>
      <c r="L44" s="85" t="str">
        <f t="shared" si="23"/>
        <v/>
      </c>
      <c r="M44" s="84">
        <f t="shared" si="3"/>
        <v>4.8</v>
      </c>
      <c r="N44" s="84">
        <f t="shared" si="4"/>
        <v>4.4000000000000004</v>
      </c>
      <c r="O44" s="91">
        <f t="shared" si="5"/>
        <v>4.6000000000000005</v>
      </c>
      <c r="P44" s="122">
        <f>IF(COUNT(F44:L44)&gt;0,O44*Obligatoria1GD,"")</f>
        <v>7.3600000000000012</v>
      </c>
      <c r="Q44" s="126"/>
      <c r="R44" s="124">
        <f>IF(COUNT(F44:L45)&gt;0,SUM(P44:P45),"")</f>
        <v>14.500833333333334</v>
      </c>
      <c r="S44" s="92">
        <f>IF(COUNT(F44:L45)&gt;0,((R44/TotalGD)*10)-SUM(Q44:Q45),0)</f>
        <v>41.430952380952384</v>
      </c>
    </row>
    <row r="45" spans="1:19" hidden="1" x14ac:dyDescent="0.3">
      <c r="A45" s="13" t="str">
        <f t="shared" si="17"/>
        <v>SINCROANTIOQUIA NADO</v>
      </c>
      <c r="B45" s="93"/>
      <c r="C45" s="94"/>
      <c r="D45" s="93"/>
      <c r="E45" s="76">
        <f>Obligatoria2Cod</f>
        <v>2</v>
      </c>
      <c r="F45" s="88">
        <v>3</v>
      </c>
      <c r="G45" s="86">
        <v>4.5</v>
      </c>
      <c r="H45" s="86">
        <v>4.5999999999999996</v>
      </c>
      <c r="I45" s="86">
        <v>3</v>
      </c>
      <c r="J45" s="86">
        <f t="shared" si="21"/>
        <v>3.7749999999999999</v>
      </c>
      <c r="K45" s="86" t="str">
        <f t="shared" si="22"/>
        <v/>
      </c>
      <c r="L45" s="86" t="str">
        <f t="shared" si="23"/>
        <v/>
      </c>
      <c r="M45" s="86">
        <f t="shared" si="3"/>
        <v>4.5999999999999996</v>
      </c>
      <c r="N45" s="86">
        <f t="shared" si="4"/>
        <v>3</v>
      </c>
      <c r="O45" s="95">
        <f t="shared" si="5"/>
        <v>3.7583333333333333</v>
      </c>
      <c r="P45" s="123">
        <f>IF(COUNT(F45:L45)&gt;0,O45*Obligatoria2GD,"")</f>
        <v>7.1408333333333331</v>
      </c>
      <c r="Q45" s="127"/>
      <c r="R45" s="125"/>
      <c r="S45" s="96"/>
    </row>
    <row r="46" spans="1:19" hidden="1" x14ac:dyDescent="0.3">
      <c r="A46" s="13" t="str">
        <f t="shared" si="16"/>
        <v>SINCROANTIOQUIA NADO</v>
      </c>
      <c r="B46" s="83">
        <v>20</v>
      </c>
      <c r="C46" s="90" t="s">
        <v>143</v>
      </c>
      <c r="D46" s="89" t="s">
        <v>118</v>
      </c>
      <c r="E46" s="76">
        <f>Obligatoria1Cod</f>
        <v>1</v>
      </c>
      <c r="F46" s="97">
        <v>4</v>
      </c>
      <c r="G46" s="85">
        <v>4.8</v>
      </c>
      <c r="H46" s="85">
        <v>4.2</v>
      </c>
      <c r="I46" s="85">
        <v>4.2</v>
      </c>
      <c r="J46" s="85">
        <f t="shared" si="21"/>
        <v>4.3</v>
      </c>
      <c r="K46" s="85" t="str">
        <f t="shared" si="22"/>
        <v/>
      </c>
      <c r="L46" s="85" t="str">
        <f t="shared" si="23"/>
        <v/>
      </c>
      <c r="M46" s="84">
        <f t="shared" si="3"/>
        <v>4.8</v>
      </c>
      <c r="N46" s="84">
        <f t="shared" si="4"/>
        <v>4</v>
      </c>
      <c r="O46" s="91">
        <f t="shared" si="5"/>
        <v>4.2333333333333334</v>
      </c>
      <c r="P46" s="122">
        <f>IF(COUNT(F46:L46)&gt;0,O46*Obligatoria1GD,"")</f>
        <v>6.7733333333333334</v>
      </c>
      <c r="Q46" s="126"/>
      <c r="R46" s="124">
        <f>IF(COUNT(F46:L47)&gt;0,SUM(P46:P47),"")</f>
        <v>13.961666666666666</v>
      </c>
      <c r="S46" s="92">
        <f>IF(COUNT(F46:L47)&gt;0,((R46/TotalGD)*10)-SUM(Q46:Q47),0)</f>
        <v>39.890476190476186</v>
      </c>
    </row>
    <row r="47" spans="1:19" hidden="1" x14ac:dyDescent="0.3">
      <c r="A47" s="13" t="str">
        <f t="shared" si="17"/>
        <v>SINCROANTIOQUIA NADO</v>
      </c>
      <c r="B47" s="93"/>
      <c r="C47" s="94"/>
      <c r="D47" s="93"/>
      <c r="E47" s="76">
        <f>Obligatoria2Cod</f>
        <v>2</v>
      </c>
      <c r="F47" s="88">
        <v>3.1</v>
      </c>
      <c r="G47" s="86">
        <v>4.4000000000000004</v>
      </c>
      <c r="H47" s="86">
        <v>4.8</v>
      </c>
      <c r="I47" s="86">
        <v>3.1</v>
      </c>
      <c r="J47" s="86">
        <f t="shared" si="21"/>
        <v>3.85</v>
      </c>
      <c r="K47" s="86" t="str">
        <f t="shared" si="22"/>
        <v/>
      </c>
      <c r="L47" s="86" t="str">
        <f t="shared" si="23"/>
        <v/>
      </c>
      <c r="M47" s="86">
        <f t="shared" si="3"/>
        <v>4.8</v>
      </c>
      <c r="N47" s="86">
        <f t="shared" si="4"/>
        <v>3.1</v>
      </c>
      <c r="O47" s="95">
        <f t="shared" si="5"/>
        <v>3.7833333333333332</v>
      </c>
      <c r="P47" s="123">
        <f>IF(COUNT(F47:L47)&gt;0,O47*Obligatoria2GD,"")</f>
        <v>7.1883333333333326</v>
      </c>
      <c r="Q47" s="127"/>
      <c r="R47" s="125"/>
      <c r="S47" s="96"/>
    </row>
    <row r="48" spans="1:19" hidden="1" x14ac:dyDescent="0.3">
      <c r="A48" s="13" t="str">
        <f t="shared" si="16"/>
        <v>ESTRELLAS DE ANTIOQUIA</v>
      </c>
      <c r="B48" s="83">
        <v>21</v>
      </c>
      <c r="C48" s="90" t="s">
        <v>144</v>
      </c>
      <c r="D48" s="89" t="s">
        <v>116</v>
      </c>
      <c r="E48" s="76">
        <f>Obligatoria1Cod</f>
        <v>1</v>
      </c>
      <c r="F48" s="97">
        <v>4.3</v>
      </c>
      <c r="G48" s="85">
        <v>4.4000000000000004</v>
      </c>
      <c r="H48" s="85">
        <v>4.9000000000000004</v>
      </c>
      <c r="I48" s="85">
        <v>4.5</v>
      </c>
      <c r="J48" s="85">
        <f t="shared" si="21"/>
        <v>4.5250000000000004</v>
      </c>
      <c r="K48" s="85" t="str">
        <f t="shared" si="22"/>
        <v/>
      </c>
      <c r="L48" s="85" t="str">
        <f t="shared" si="23"/>
        <v/>
      </c>
      <c r="M48" s="84">
        <f t="shared" si="3"/>
        <v>4.9000000000000004</v>
      </c>
      <c r="N48" s="84">
        <f t="shared" si="4"/>
        <v>4.3</v>
      </c>
      <c r="O48" s="91">
        <f t="shared" si="5"/>
        <v>4.4750000000000005</v>
      </c>
      <c r="P48" s="122">
        <f>IF(COUNT(F48:L48)&gt;0,O48*Obligatoria1GD,"")</f>
        <v>7.160000000000001</v>
      </c>
      <c r="Q48" s="126"/>
      <c r="R48" s="124">
        <f>IF(COUNT(F48:L49)&gt;0,SUM(P48:P49),"")</f>
        <v>14.459166666666668</v>
      </c>
      <c r="S48" s="92">
        <f>IF(COUNT(F48:L49)&gt;0,((R48/TotalGD)*10)-SUM(Q48:Q49),0)</f>
        <v>41.311904761904763</v>
      </c>
    </row>
    <row r="49" spans="1:19" hidden="1" x14ac:dyDescent="0.3">
      <c r="A49" s="13" t="str">
        <f t="shared" si="17"/>
        <v>ESTRELLAS DE ANTIOQUIA</v>
      </c>
      <c r="B49" s="93"/>
      <c r="C49" s="94"/>
      <c r="D49" s="93"/>
      <c r="E49" s="76">
        <f>Obligatoria2Cod</f>
        <v>2</v>
      </c>
      <c r="F49" s="88">
        <v>3</v>
      </c>
      <c r="G49" s="86">
        <v>4</v>
      </c>
      <c r="H49" s="86">
        <v>4.0999999999999996</v>
      </c>
      <c r="I49" s="86">
        <v>3.8</v>
      </c>
      <c r="J49" s="86">
        <f t="shared" si="21"/>
        <v>3.7249999999999996</v>
      </c>
      <c r="K49" s="86" t="str">
        <f t="shared" si="22"/>
        <v/>
      </c>
      <c r="L49" s="86" t="str">
        <f t="shared" si="23"/>
        <v/>
      </c>
      <c r="M49" s="86">
        <f t="shared" si="3"/>
        <v>4.0999999999999996</v>
      </c>
      <c r="N49" s="86">
        <f t="shared" si="4"/>
        <v>3</v>
      </c>
      <c r="O49" s="95">
        <f t="shared" si="5"/>
        <v>3.8416666666666668</v>
      </c>
      <c r="P49" s="123">
        <f>IF(COUNT(F49:L49)&gt;0,O49*Obligatoria2GD,"")</f>
        <v>7.2991666666666664</v>
      </c>
      <c r="Q49" s="127"/>
      <c r="R49" s="125"/>
      <c r="S49" s="96"/>
    </row>
    <row r="50" spans="1:19" x14ac:dyDescent="0.3">
      <c r="A50" s="13" t="str">
        <f t="shared" si="16"/>
        <v>AQUASWIM</v>
      </c>
      <c r="B50" s="83">
        <v>22</v>
      </c>
      <c r="C50" s="90" t="s">
        <v>145</v>
      </c>
      <c r="D50" s="89" t="s">
        <v>117</v>
      </c>
      <c r="E50" s="76">
        <f>Obligatoria1Cod</f>
        <v>1</v>
      </c>
      <c r="F50" s="97">
        <v>3.6</v>
      </c>
      <c r="G50" s="85">
        <v>4.2</v>
      </c>
      <c r="H50" s="85">
        <v>4.5999999999999996</v>
      </c>
      <c r="I50" s="85">
        <v>4.2</v>
      </c>
      <c r="J50" s="85">
        <f t="shared" si="21"/>
        <v>4.1500000000000004</v>
      </c>
      <c r="K50" s="85" t="str">
        <f t="shared" si="22"/>
        <v/>
      </c>
      <c r="L50" s="85" t="str">
        <f t="shared" si="23"/>
        <v/>
      </c>
      <c r="M50" s="84">
        <f t="shared" si="3"/>
        <v>4.5999999999999996</v>
      </c>
      <c r="N50" s="84">
        <f t="shared" si="4"/>
        <v>3.6</v>
      </c>
      <c r="O50" s="91">
        <f t="shared" si="5"/>
        <v>4.1833333333333336</v>
      </c>
      <c r="P50" s="122">
        <f>IF(COUNT(F50:L50)&gt;0,O50*Obligatoria1GD,"")</f>
        <v>6.6933333333333342</v>
      </c>
      <c r="Q50" s="126"/>
      <c r="R50" s="124">
        <f>IF(COUNT(F50:L51)&gt;0,SUM(P50:P51),"")</f>
        <v>13.897499999999997</v>
      </c>
      <c r="S50" s="92">
        <f>IF(COUNT(F50:L51)&gt;0,((R50/TotalGD)*10)-SUM(Q50:Q51),0)</f>
        <v>39.707142857142848</v>
      </c>
    </row>
    <row r="51" spans="1:19" x14ac:dyDescent="0.3">
      <c r="A51" s="13" t="str">
        <f t="shared" si="17"/>
        <v>AQUASWIM</v>
      </c>
      <c r="B51" s="93"/>
      <c r="C51" s="94"/>
      <c r="D51" s="93"/>
      <c r="E51" s="76">
        <f>Obligatoria2Cod</f>
        <v>2</v>
      </c>
      <c r="F51" s="88">
        <v>3.2</v>
      </c>
      <c r="G51" s="86">
        <v>3.9</v>
      </c>
      <c r="H51" s="86">
        <v>4.3</v>
      </c>
      <c r="I51" s="86">
        <v>3.7</v>
      </c>
      <c r="J51" s="86">
        <f t="shared" si="21"/>
        <v>3.7749999999999995</v>
      </c>
      <c r="K51" s="86" t="str">
        <f t="shared" si="22"/>
        <v/>
      </c>
      <c r="L51" s="86" t="str">
        <f t="shared" si="23"/>
        <v/>
      </c>
      <c r="M51" s="86">
        <f t="shared" si="3"/>
        <v>4.3</v>
      </c>
      <c r="N51" s="86">
        <f t="shared" si="4"/>
        <v>3.2</v>
      </c>
      <c r="O51" s="95">
        <f t="shared" si="5"/>
        <v>3.7916666666666656</v>
      </c>
      <c r="P51" s="123">
        <f>IF(COUNT(F51:L51)&gt;0,O51*Obligatoria2GD,"")</f>
        <v>7.2041666666666639</v>
      </c>
      <c r="Q51" s="127"/>
      <c r="R51" s="125"/>
      <c r="S51" s="96"/>
    </row>
    <row r="52" spans="1:19" hidden="1" x14ac:dyDescent="0.3">
      <c r="A52" s="13" t="str">
        <f t="shared" si="16"/>
        <v>ESTRELLAS DE ANTIOQUIA</v>
      </c>
      <c r="B52" s="83">
        <v>23</v>
      </c>
      <c r="C52" s="90" t="s">
        <v>146</v>
      </c>
      <c r="D52" s="89" t="s">
        <v>116</v>
      </c>
      <c r="E52" s="76">
        <f>Obligatoria1Cod</f>
        <v>1</v>
      </c>
      <c r="F52" s="97">
        <v>3.8</v>
      </c>
      <c r="G52" s="85">
        <v>5</v>
      </c>
      <c r="H52" s="85">
        <v>5.0999999999999996</v>
      </c>
      <c r="I52" s="85">
        <v>4.9000000000000004</v>
      </c>
      <c r="J52" s="85">
        <f t="shared" si="21"/>
        <v>4.7</v>
      </c>
      <c r="K52" s="85" t="str">
        <f t="shared" si="22"/>
        <v/>
      </c>
      <c r="L52" s="85" t="str">
        <f t="shared" si="23"/>
        <v/>
      </c>
      <c r="M52" s="84">
        <f t="shared" si="3"/>
        <v>5.0999999999999996</v>
      </c>
      <c r="N52" s="84">
        <f t="shared" si="4"/>
        <v>3.8</v>
      </c>
      <c r="O52" s="91">
        <f t="shared" si="5"/>
        <v>4.8666666666666671</v>
      </c>
      <c r="P52" s="122">
        <f>IF(COUNT(F52:L52)&gt;0,O52*Obligatoria1GD,"")</f>
        <v>7.786666666666668</v>
      </c>
      <c r="Q52" s="126"/>
      <c r="R52" s="124">
        <f>IF(COUNT(F52:L53)&gt;0,SUM(P52:P53),"")</f>
        <v>15.64</v>
      </c>
      <c r="S52" s="92">
        <f>IF(COUNT(F52:L53)&gt;0,((R52/TotalGD)*10)-SUM(Q52:Q53),0)</f>
        <v>44.68571428571429</v>
      </c>
    </row>
    <row r="53" spans="1:19" hidden="1" x14ac:dyDescent="0.3">
      <c r="A53" s="13" t="str">
        <f t="shared" si="17"/>
        <v>ESTRELLAS DE ANTIOQUIA</v>
      </c>
      <c r="B53" s="93"/>
      <c r="C53" s="94"/>
      <c r="D53" s="93"/>
      <c r="E53" s="76">
        <f>Obligatoria2Cod</f>
        <v>2</v>
      </c>
      <c r="F53" s="88">
        <v>3.5</v>
      </c>
      <c r="G53" s="86">
        <v>4.8</v>
      </c>
      <c r="H53" s="86">
        <v>4.9000000000000004</v>
      </c>
      <c r="I53" s="86">
        <v>3.2</v>
      </c>
      <c r="J53" s="86">
        <f t="shared" si="21"/>
        <v>4.1000000000000005</v>
      </c>
      <c r="K53" s="86" t="str">
        <f t="shared" si="22"/>
        <v/>
      </c>
      <c r="L53" s="86" t="str">
        <f t="shared" si="23"/>
        <v/>
      </c>
      <c r="M53" s="86">
        <f t="shared" si="3"/>
        <v>4.9000000000000004</v>
      </c>
      <c r="N53" s="86">
        <f t="shared" si="4"/>
        <v>3.2</v>
      </c>
      <c r="O53" s="95">
        <f t="shared" si="5"/>
        <v>4.1333333333333337</v>
      </c>
      <c r="P53" s="123">
        <f>IF(COUNT(F53:L53)&gt;0,O53*Obligatoria2GD,"")</f>
        <v>7.8533333333333335</v>
      </c>
      <c r="Q53" s="127"/>
      <c r="R53" s="125"/>
      <c r="S53" s="96"/>
    </row>
    <row r="54" spans="1:19" x14ac:dyDescent="0.3">
      <c r="B54" s="29"/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</row>
  </sheetData>
  <autoFilter ref="A7:A53" xr:uid="{DCC4BDBA-F30E-486C-8765-F6610BC734C1}">
    <filterColumn colId="0">
      <filters>
        <filter val="AQUASWIM"/>
      </filters>
    </filterColumn>
  </autoFilter>
  <mergeCells count="6">
    <mergeCell ref="R6:S6"/>
    <mergeCell ref="B4:G4"/>
    <mergeCell ref="B1:G1"/>
    <mergeCell ref="B2:G2"/>
    <mergeCell ref="B3:G3"/>
    <mergeCell ref="F6:L6"/>
  </mergeCells>
  <phoneticPr fontId="25" type="noConversion"/>
  <conditionalFormatting sqref="B8:S54">
    <cfRule type="expression" dxfId="0" priority="2">
      <formula>"BUSCARV($B$8;tblDeportistas[[Deportista]:[Compite]];4;0)&gt;0"</formula>
    </cfRule>
  </conditionalFormatting>
  <printOptions horizontalCentered="1"/>
  <pageMargins left="0.15748031496062992" right="0.15748031496062992" top="0.46" bottom="0.87" header="0.31496062992125984" footer="0.31496062992125984"/>
  <pageSetup scale="91" fitToHeight="0" orientation="portrait" errors="NA" r:id="rId1"/>
  <headerFooter>
    <oddFooter>&amp;L[&amp;A]&amp;RPágina &amp;P de &amp;N</oddFooter>
  </headerFooter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977C2-11EB-4A1F-8AC7-BA642DAA1497}">
  <sheetPr codeName="Hoja3">
    <pageSetUpPr fitToPage="1"/>
  </sheetPr>
  <dimension ref="A1:XFC47"/>
  <sheetViews>
    <sheetView showGridLines="0" zoomScale="90" zoomScaleNormal="90" workbookViewId="0">
      <selection activeCell="A5" sqref="A5"/>
    </sheetView>
  </sheetViews>
  <sheetFormatPr baseColWidth="10" defaultColWidth="0" defaultRowHeight="14.4" x14ac:dyDescent="0.3"/>
  <cols>
    <col min="1" max="1" width="7" style="114" customWidth="1"/>
    <col min="2" max="2" width="35" style="115" customWidth="1"/>
    <col min="3" max="3" width="25" style="108" customWidth="1"/>
    <col min="4" max="4" width="16.77734375" style="114" hidden="1" customWidth="1"/>
    <col min="5" max="5" width="9.5546875" style="114" customWidth="1"/>
    <col min="6" max="6" width="11" style="114" customWidth="1"/>
    <col min="7" max="7" width="2.109375" style="13" customWidth="1"/>
    <col min="8" max="8" width="10.44140625" style="13" hidden="1"/>
    <col min="9" max="9" width="3.44140625" style="13" hidden="1"/>
    <col min="10" max="16383" width="15.109375" style="13" hidden="1"/>
    <col min="16384" max="16384" width="0.109375" style="13" hidden="1"/>
  </cols>
  <sheetData>
    <row r="1" spans="1:8" ht="15.75" customHeight="1" x14ac:dyDescent="0.3">
      <c r="A1" s="199" t="str">
        <f>HeadLin1</f>
        <v>Liga de Natación de Antioquia</v>
      </c>
      <c r="B1" s="199"/>
      <c r="C1" s="199"/>
      <c r="D1" s="199"/>
      <c r="E1" s="111"/>
      <c r="F1" s="111"/>
    </row>
    <row r="2" spans="1:8" ht="15.75" customHeight="1" x14ac:dyDescent="0.3">
      <c r="A2" s="199" t="str">
        <f>HeadLin2</f>
        <v>Festival infantil departamental Fase I</v>
      </c>
      <c r="B2" s="199"/>
      <c r="C2" s="199"/>
      <c r="D2" s="199"/>
      <c r="E2" s="111"/>
      <c r="F2" s="111"/>
    </row>
    <row r="3" spans="1:8" ht="15.75" customHeight="1" x14ac:dyDescent="0.3">
      <c r="A3" s="199" t="str">
        <f>HeadLin3</f>
        <v>Figuras - Categoría Novatas 9-10</v>
      </c>
      <c r="B3" s="199"/>
      <c r="C3" s="199"/>
      <c r="D3" s="199"/>
      <c r="E3" s="111"/>
      <c r="F3" s="111"/>
    </row>
    <row r="4" spans="1:8" ht="15.75" customHeight="1" x14ac:dyDescent="0.3">
      <c r="A4" s="199" t="str">
        <f>HeadLin4</f>
        <v>Abril 23 de 2022</v>
      </c>
      <c r="B4" s="199"/>
      <c r="C4" s="199"/>
      <c r="D4" s="199"/>
      <c r="E4" s="112"/>
      <c r="F4" s="112"/>
    </row>
    <row r="5" spans="1:8" s="113" customFormat="1" ht="11.25" customHeight="1" x14ac:dyDescent="0.3">
      <c r="A5" s="116"/>
      <c r="B5" s="116"/>
      <c r="C5" s="116"/>
      <c r="D5" s="116"/>
      <c r="E5" s="117"/>
      <c r="F5" s="117"/>
    </row>
    <row r="6" spans="1:8" s="113" customFormat="1" ht="15.6" x14ac:dyDescent="0.3">
      <c r="A6" s="200" t="s">
        <v>31</v>
      </c>
      <c r="B6" s="200"/>
      <c r="C6" s="200"/>
      <c r="D6" s="200"/>
      <c r="E6" s="200"/>
      <c r="F6" s="200"/>
    </row>
    <row r="7" spans="1:8" ht="30" customHeight="1" x14ac:dyDescent="0.3">
      <c r="A7" s="26" t="s">
        <v>32</v>
      </c>
      <c r="B7" s="27" t="s">
        <v>6</v>
      </c>
      <c r="C7" s="27" t="s">
        <v>7</v>
      </c>
      <c r="D7" s="27" t="s">
        <v>27</v>
      </c>
      <c r="E7" s="26" t="s">
        <v>34</v>
      </c>
      <c r="F7" s="26" t="s">
        <v>33</v>
      </c>
      <c r="G7" s="119"/>
    </row>
    <row r="8" spans="1:8" x14ac:dyDescent="0.3">
      <c r="A8" s="28">
        <v>3</v>
      </c>
      <c r="B8" s="29" t="s">
        <v>125</v>
      </c>
      <c r="C8" s="29" t="s">
        <v>118</v>
      </c>
      <c r="D8" s="110">
        <v>0</v>
      </c>
      <c r="E8" s="30">
        <f>_xlfn.XLOOKUP(tblPosiciones[[#This Row],[Deportista]],tblPlanilla[Deportista],tblPlanilla[TOTAL])</f>
        <v>47.516666666666666</v>
      </c>
      <c r="F8" s="31">
        <v>1</v>
      </c>
      <c r="G8" s="118"/>
    </row>
    <row r="9" spans="1:8" x14ac:dyDescent="0.3">
      <c r="A9" s="28">
        <v>17</v>
      </c>
      <c r="B9" s="29" t="s">
        <v>139</v>
      </c>
      <c r="C9" s="29" t="s">
        <v>140</v>
      </c>
      <c r="D9" s="110">
        <v>0</v>
      </c>
      <c r="E9" s="30">
        <f>_xlfn.XLOOKUP(tblPosiciones[[#This Row],[Deportista]],tblPlanilla[Deportista],tblPlanilla[TOTAL])</f>
        <v>44.854761904761908</v>
      </c>
      <c r="F9" s="31">
        <v>2</v>
      </c>
      <c r="G9" s="118"/>
    </row>
    <row r="10" spans="1:8" x14ac:dyDescent="0.3">
      <c r="A10" s="28">
        <v>23</v>
      </c>
      <c r="B10" s="29" t="s">
        <v>146</v>
      </c>
      <c r="C10" s="29" t="s">
        <v>116</v>
      </c>
      <c r="D10" s="110">
        <v>0</v>
      </c>
      <c r="E10" s="30">
        <f>_xlfn.XLOOKUP(tblPosiciones[[#This Row],[Deportista]],tblPlanilla[Deportista],tblPlanilla[TOTAL])</f>
        <v>44.68571428571429</v>
      </c>
      <c r="F10" s="31">
        <v>3</v>
      </c>
      <c r="G10" s="118"/>
    </row>
    <row r="11" spans="1:8" x14ac:dyDescent="0.3">
      <c r="A11" s="28">
        <v>5</v>
      </c>
      <c r="B11" s="29" t="s">
        <v>127</v>
      </c>
      <c r="C11" s="29" t="s">
        <v>118</v>
      </c>
      <c r="D11" s="110">
        <v>0</v>
      </c>
      <c r="E11" s="30">
        <f>_xlfn.XLOOKUP(tblPosiciones[[#This Row],[Deportista]],tblPlanilla[Deportista],tblPlanilla[TOTAL])</f>
        <v>43.55952380952381</v>
      </c>
      <c r="F11" s="31">
        <v>4</v>
      </c>
      <c r="G11" s="118"/>
    </row>
    <row r="12" spans="1:8" x14ac:dyDescent="0.3">
      <c r="A12" s="28">
        <v>1</v>
      </c>
      <c r="B12" s="29" t="s">
        <v>123</v>
      </c>
      <c r="C12" s="29" t="s">
        <v>116</v>
      </c>
      <c r="D12" s="110">
        <v>0</v>
      </c>
      <c r="E12" s="30">
        <f>_xlfn.XLOOKUP(tblPosiciones[[#This Row],[Deportista]],tblPlanilla[Deportista],tblPlanilla[TOTAL])</f>
        <v>43.202380952380956</v>
      </c>
      <c r="F12" s="31">
        <v>5</v>
      </c>
      <c r="G12" s="118"/>
    </row>
    <row r="13" spans="1:8" x14ac:dyDescent="0.3">
      <c r="A13" s="28">
        <v>9</v>
      </c>
      <c r="B13" s="29" t="s">
        <v>131</v>
      </c>
      <c r="C13" s="29" t="s">
        <v>116</v>
      </c>
      <c r="D13" s="110">
        <v>0</v>
      </c>
      <c r="E13" s="30">
        <f>_xlfn.XLOOKUP(tblPosiciones[[#This Row],[Deportista]],tblPlanilla[Deportista],tblPlanilla[TOTAL])</f>
        <v>42.752380952380946</v>
      </c>
      <c r="F13" s="31">
        <v>6</v>
      </c>
      <c r="G13" s="118"/>
    </row>
    <row r="14" spans="1:8" x14ac:dyDescent="0.3">
      <c r="A14" s="28">
        <v>16</v>
      </c>
      <c r="B14" s="29" t="s">
        <v>138</v>
      </c>
      <c r="C14" s="29" t="s">
        <v>116</v>
      </c>
      <c r="D14" s="110">
        <v>0</v>
      </c>
      <c r="E14" s="30">
        <f>_xlfn.XLOOKUP(tblPosiciones[[#This Row],[Deportista]],tblPlanilla[Deportista],tblPlanilla[TOTAL])</f>
        <v>42.164285714285718</v>
      </c>
      <c r="F14" s="31">
        <v>7</v>
      </c>
      <c r="G14" s="118"/>
    </row>
    <row r="15" spans="1:8" x14ac:dyDescent="0.3">
      <c r="A15" s="28">
        <v>19</v>
      </c>
      <c r="B15" s="29" t="s">
        <v>142</v>
      </c>
      <c r="C15" s="29" t="s">
        <v>118</v>
      </c>
      <c r="D15" s="110">
        <v>0</v>
      </c>
      <c r="E15" s="30">
        <f>_xlfn.XLOOKUP(tblPosiciones[[#This Row],[Deportista]],tblPlanilla[Deportista],tblPlanilla[TOTAL])</f>
        <v>41.430952380952384</v>
      </c>
      <c r="F15" s="31">
        <v>8</v>
      </c>
      <c r="H15" s="118"/>
    </row>
    <row r="16" spans="1:8" x14ac:dyDescent="0.3">
      <c r="A16" s="28">
        <v>21</v>
      </c>
      <c r="B16" s="29" t="s">
        <v>144</v>
      </c>
      <c r="C16" s="29" t="s">
        <v>116</v>
      </c>
      <c r="D16" s="110">
        <v>0</v>
      </c>
      <c r="E16" s="30">
        <f>_xlfn.XLOOKUP(tblPosiciones[[#This Row],[Deportista]],tblPlanilla[Deportista],tblPlanilla[TOTAL])</f>
        <v>41.311904761904763</v>
      </c>
      <c r="F16" s="31">
        <v>9</v>
      </c>
      <c r="H16" s="118"/>
    </row>
    <row r="17" spans="1:8" x14ac:dyDescent="0.3">
      <c r="A17" s="28">
        <v>6</v>
      </c>
      <c r="B17" s="29" t="s">
        <v>128</v>
      </c>
      <c r="C17" s="29" t="s">
        <v>116</v>
      </c>
      <c r="D17" s="110">
        <v>0</v>
      </c>
      <c r="E17" s="30">
        <f>_xlfn.XLOOKUP(tblPosiciones[[#This Row],[Deportista]],tblPlanilla[Deportista],tblPlanilla[TOTAL])</f>
        <v>41.30714285714285</v>
      </c>
      <c r="F17" s="31">
        <v>10</v>
      </c>
      <c r="H17" s="118"/>
    </row>
    <row r="18" spans="1:8" x14ac:dyDescent="0.3">
      <c r="A18" s="28">
        <v>15</v>
      </c>
      <c r="B18" s="29" t="s">
        <v>137</v>
      </c>
      <c r="C18" s="29" t="s">
        <v>117</v>
      </c>
      <c r="D18" s="110">
        <v>0</v>
      </c>
      <c r="E18" s="30">
        <f>_xlfn.XLOOKUP(tblPosiciones[[#This Row],[Deportista]],tblPlanilla[Deportista],tblPlanilla[TOTAL])</f>
        <v>40.833333333333329</v>
      </c>
      <c r="F18" s="31">
        <v>11</v>
      </c>
      <c r="H18" s="118"/>
    </row>
    <row r="19" spans="1:8" x14ac:dyDescent="0.3">
      <c r="A19" s="28">
        <v>8</v>
      </c>
      <c r="B19" s="29" t="s">
        <v>130</v>
      </c>
      <c r="C19" s="29" t="s">
        <v>117</v>
      </c>
      <c r="D19" s="110">
        <v>0</v>
      </c>
      <c r="E19" s="30">
        <f>_xlfn.XLOOKUP(tblPosiciones[[#This Row],[Deportista]],tblPlanilla[Deportista],tblPlanilla[TOTAL])</f>
        <v>40.602380952380955</v>
      </c>
      <c r="F19" s="31">
        <v>12</v>
      </c>
      <c r="H19" s="118"/>
    </row>
    <row r="20" spans="1:8" x14ac:dyDescent="0.3">
      <c r="A20" s="28">
        <v>20</v>
      </c>
      <c r="B20" s="29" t="s">
        <v>143</v>
      </c>
      <c r="C20" s="29" t="s">
        <v>118</v>
      </c>
      <c r="D20" s="110">
        <v>0</v>
      </c>
      <c r="E20" s="30">
        <f>_xlfn.XLOOKUP(tblPosiciones[[#This Row],[Deportista]],tblPlanilla[Deportista],tblPlanilla[TOTAL])</f>
        <v>39.890476190476186</v>
      </c>
      <c r="F20" s="31">
        <v>13</v>
      </c>
      <c r="H20" s="118"/>
    </row>
    <row r="21" spans="1:8" x14ac:dyDescent="0.3">
      <c r="A21" s="28">
        <v>22</v>
      </c>
      <c r="B21" s="29" t="s">
        <v>145</v>
      </c>
      <c r="C21" s="29" t="s">
        <v>117</v>
      </c>
      <c r="D21" s="110">
        <v>0</v>
      </c>
      <c r="E21" s="30">
        <f>_xlfn.XLOOKUP(tblPosiciones[[#This Row],[Deportista]],tblPlanilla[Deportista],tblPlanilla[TOTAL])</f>
        <v>39.707142857142848</v>
      </c>
      <c r="F21" s="31">
        <v>14</v>
      </c>
      <c r="H21" s="118"/>
    </row>
    <row r="22" spans="1:8" x14ac:dyDescent="0.3">
      <c r="A22" s="28">
        <v>10</v>
      </c>
      <c r="B22" s="29" t="s">
        <v>132</v>
      </c>
      <c r="C22" s="29" t="s">
        <v>118</v>
      </c>
      <c r="D22" s="110">
        <v>0</v>
      </c>
      <c r="E22" s="30">
        <f>_xlfn.XLOOKUP(tblPosiciones[[#This Row],[Deportista]],tblPlanilla[Deportista],tblPlanilla[TOTAL])</f>
        <v>38.461904761904762</v>
      </c>
      <c r="F22" s="31">
        <v>15</v>
      </c>
      <c r="H22" s="118"/>
    </row>
    <row r="23" spans="1:8" x14ac:dyDescent="0.3">
      <c r="A23" s="28">
        <v>13</v>
      </c>
      <c r="B23" s="29" t="s">
        <v>135</v>
      </c>
      <c r="C23" s="29" t="s">
        <v>118</v>
      </c>
      <c r="D23" s="110">
        <v>0</v>
      </c>
      <c r="E23" s="30">
        <f>_xlfn.XLOOKUP(tblPosiciones[[#This Row],[Deportista]],tblPlanilla[Deportista],tblPlanilla[TOTAL])</f>
        <v>38.283333333333331</v>
      </c>
      <c r="F23" s="31">
        <v>16</v>
      </c>
      <c r="H23" s="118"/>
    </row>
    <row r="24" spans="1:8" x14ac:dyDescent="0.3">
      <c r="A24" s="28">
        <v>2</v>
      </c>
      <c r="B24" s="29" t="s">
        <v>124</v>
      </c>
      <c r="C24" s="29" t="s">
        <v>116</v>
      </c>
      <c r="D24" s="110">
        <v>0</v>
      </c>
      <c r="E24" s="30">
        <f>_xlfn.XLOOKUP(tblPosiciones[[#This Row],[Deportista]],tblPlanilla[Deportista],tblPlanilla[TOTAL])</f>
        <v>37.811904761904756</v>
      </c>
      <c r="F24" s="31">
        <v>17</v>
      </c>
      <c r="H24" s="118"/>
    </row>
    <row r="25" spans="1:8" x14ac:dyDescent="0.3">
      <c r="A25" s="28">
        <v>18</v>
      </c>
      <c r="B25" s="29" t="s">
        <v>141</v>
      </c>
      <c r="C25" s="29" t="s">
        <v>118</v>
      </c>
      <c r="D25" s="110">
        <v>0</v>
      </c>
      <c r="E25" s="30">
        <f>_xlfn.XLOOKUP(tblPosiciones[[#This Row],[Deportista]],tblPlanilla[Deportista],tblPlanilla[TOTAL])</f>
        <v>35.833333333333329</v>
      </c>
      <c r="F25" s="31">
        <v>18</v>
      </c>
      <c r="H25" s="118"/>
    </row>
    <row r="26" spans="1:8" x14ac:dyDescent="0.3">
      <c r="A26" s="28">
        <v>11</v>
      </c>
      <c r="B26" s="29" t="s">
        <v>133</v>
      </c>
      <c r="C26" s="29" t="s">
        <v>116</v>
      </c>
      <c r="D26" s="110">
        <v>0</v>
      </c>
      <c r="E26" s="30">
        <f>_xlfn.XLOOKUP(tblPosiciones[[#This Row],[Deportista]],tblPlanilla[Deportista],tblPlanilla[TOTAL])</f>
        <v>35.271428571428565</v>
      </c>
      <c r="F26" s="31">
        <v>19</v>
      </c>
      <c r="H26" s="118"/>
    </row>
    <row r="27" spans="1:8" x14ac:dyDescent="0.3">
      <c r="A27" s="28">
        <v>12</v>
      </c>
      <c r="B27" s="29" t="s">
        <v>134</v>
      </c>
      <c r="C27" s="29" t="s">
        <v>118</v>
      </c>
      <c r="D27" s="110">
        <v>0</v>
      </c>
      <c r="E27" s="30">
        <f>_xlfn.XLOOKUP(tblPosiciones[[#This Row],[Deportista]],tblPlanilla[Deportista],tblPlanilla[TOTAL])</f>
        <v>32.321428571428569</v>
      </c>
      <c r="F27" s="31">
        <v>20</v>
      </c>
      <c r="H27" s="118"/>
    </row>
    <row r="28" spans="1:8" x14ac:dyDescent="0.3">
      <c r="A28" s="160">
        <v>4</v>
      </c>
      <c r="B28" s="161" t="s">
        <v>126</v>
      </c>
      <c r="C28" s="161" t="s">
        <v>117</v>
      </c>
      <c r="D28" s="162">
        <v>0</v>
      </c>
      <c r="E28" s="163">
        <f>_xlfn.XLOOKUP(tblPosiciones[[#This Row],[Deportista]],tblPlanilla[Deportista],tblPlanilla[TOTAL])</f>
        <v>0</v>
      </c>
      <c r="F28" s="31">
        <v>21</v>
      </c>
      <c r="H28" s="118"/>
    </row>
    <row r="29" spans="1:8" x14ac:dyDescent="0.3">
      <c r="A29" s="160">
        <v>7</v>
      </c>
      <c r="B29" s="161" t="s">
        <v>129</v>
      </c>
      <c r="C29" s="161" t="s">
        <v>117</v>
      </c>
      <c r="D29" s="162">
        <v>0</v>
      </c>
      <c r="E29" s="163">
        <f>_xlfn.XLOOKUP(tblPosiciones[[#This Row],[Deportista]],tblPlanilla[Deportista],tblPlanilla[TOTAL])</f>
        <v>0</v>
      </c>
      <c r="F29" s="31">
        <v>22</v>
      </c>
      <c r="H29" s="118"/>
    </row>
    <row r="30" spans="1:8" x14ac:dyDescent="0.3">
      <c r="A30" s="160">
        <v>14</v>
      </c>
      <c r="B30" s="161" t="s">
        <v>136</v>
      </c>
      <c r="C30" s="161" t="s">
        <v>118</v>
      </c>
      <c r="D30" s="162">
        <v>0</v>
      </c>
      <c r="E30" s="163">
        <f>_xlfn.XLOOKUP(tblPosiciones[[#This Row],[Deportista]],tblPlanilla[Deportista],tblPlanilla[TOTAL])</f>
        <v>0</v>
      </c>
      <c r="F30" s="31">
        <v>23</v>
      </c>
      <c r="H30" s="118"/>
    </row>
    <row r="31" spans="1:8" x14ac:dyDescent="0.3">
      <c r="H31" s="118"/>
    </row>
    <row r="32" spans="1:8" x14ac:dyDescent="0.3">
      <c r="H32" s="118"/>
    </row>
    <row r="33" spans="8:8" x14ac:dyDescent="0.3">
      <c r="H33" s="118"/>
    </row>
    <row r="34" spans="8:8" x14ac:dyDescent="0.3">
      <c r="H34" s="118"/>
    </row>
    <row r="35" spans="8:8" x14ac:dyDescent="0.3">
      <c r="H35" s="118"/>
    </row>
    <row r="36" spans="8:8" x14ac:dyDescent="0.3">
      <c r="H36" s="118"/>
    </row>
    <row r="37" spans="8:8" x14ac:dyDescent="0.3">
      <c r="H37" s="118"/>
    </row>
    <row r="38" spans="8:8" x14ac:dyDescent="0.3">
      <c r="H38" s="118"/>
    </row>
    <row r="39" spans="8:8" x14ac:dyDescent="0.3">
      <c r="H39" s="118"/>
    </row>
    <row r="40" spans="8:8" x14ac:dyDescent="0.3">
      <c r="H40" s="118"/>
    </row>
    <row r="41" spans="8:8" x14ac:dyDescent="0.3">
      <c r="H41" s="118"/>
    </row>
    <row r="42" spans="8:8" x14ac:dyDescent="0.3">
      <c r="H42" s="118"/>
    </row>
    <row r="43" spans="8:8" x14ac:dyDescent="0.3">
      <c r="H43" s="118"/>
    </row>
    <row r="44" spans="8:8" x14ac:dyDescent="0.3">
      <c r="H44" s="118"/>
    </row>
    <row r="45" spans="8:8" x14ac:dyDescent="0.3">
      <c r="H45" s="118"/>
    </row>
    <row r="46" spans="8:8" x14ac:dyDescent="0.3">
      <c r="H46" s="118"/>
    </row>
    <row r="47" spans="8:8" x14ac:dyDescent="0.3">
      <c r="H47" s="118"/>
    </row>
  </sheetData>
  <dataConsolidate/>
  <mergeCells count="5">
    <mergeCell ref="A1:D1"/>
    <mergeCell ref="A2:D2"/>
    <mergeCell ref="A3:D3"/>
    <mergeCell ref="A4:D4"/>
    <mergeCell ref="A6:F6"/>
  </mergeCells>
  <printOptions horizontalCentered="1"/>
  <pageMargins left="0.15748031496062992" right="0.15748031496062992" top="0.39370078740157483" bottom="0.6692913385826772" header="0.31496062992125984" footer="0.31496062992125984"/>
  <pageSetup orientation="portrait" errors="NA" r:id="rId1"/>
  <headerFooter>
    <oddFooter>&amp;L[&amp;A]&amp;RPágina &amp;P de &amp;N</oddFooter>
  </headerFooter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01596D2-981A-4F77-875F-0CEB2B8EE5A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36</vt:i4>
      </vt:variant>
    </vt:vector>
  </HeadingPairs>
  <TitlesOfParts>
    <vt:vector size="41" baseType="lpstr">
      <vt:lpstr>Datos</vt:lpstr>
      <vt:lpstr>Registro</vt:lpstr>
      <vt:lpstr>Parametros Iniciales</vt:lpstr>
      <vt:lpstr>Planilla</vt:lpstr>
      <vt:lpstr>PuntajesFinales</vt:lpstr>
      <vt:lpstr>CantJueces</vt:lpstr>
      <vt:lpstr>Grupo_escogido</vt:lpstr>
      <vt:lpstr>HeadLin1</vt:lpstr>
      <vt:lpstr>HeadLin2</vt:lpstr>
      <vt:lpstr>HeadLin3</vt:lpstr>
      <vt:lpstr>HeadLin4</vt:lpstr>
      <vt:lpstr>IniTotales</vt:lpstr>
      <vt:lpstr>JuecesCalc</vt:lpstr>
      <vt:lpstr>JuecesDisponibles</vt:lpstr>
      <vt:lpstr>JuecesPanel</vt:lpstr>
      <vt:lpstr>JuecesPanel1</vt:lpstr>
      <vt:lpstr>JuecesPanel2</vt:lpstr>
      <vt:lpstr>Nombres</vt:lpstr>
      <vt:lpstr>Obligatoria1Cod</vt:lpstr>
      <vt:lpstr>Obligatoria1GD</vt:lpstr>
      <vt:lpstr>Obligatoria1Nom</vt:lpstr>
      <vt:lpstr>Obligatoria2Cod</vt:lpstr>
      <vt:lpstr>Obligatoria2GD</vt:lpstr>
      <vt:lpstr>Obligatoria2Nom</vt:lpstr>
      <vt:lpstr>ObligatoriaTipo1</vt:lpstr>
      <vt:lpstr>ObligatoriaTipo2</vt:lpstr>
      <vt:lpstr>Opcional1Cod</vt:lpstr>
      <vt:lpstr>Opcional1GD</vt:lpstr>
      <vt:lpstr>Opcional1Nom</vt:lpstr>
      <vt:lpstr>Opcional2Cod</vt:lpstr>
      <vt:lpstr>Opcional2GD</vt:lpstr>
      <vt:lpstr>Opcional2Nom</vt:lpstr>
      <vt:lpstr>OpcionalTipo1</vt:lpstr>
      <vt:lpstr>OpcionalTipo2</vt:lpstr>
      <vt:lpstr>OrdenSalida</vt:lpstr>
      <vt:lpstr>RegistroImpar</vt:lpstr>
      <vt:lpstr>RegistroNoCompite</vt:lpstr>
      <vt:lpstr>RegistroPar</vt:lpstr>
      <vt:lpstr>TituloCategoria</vt:lpstr>
      <vt:lpstr>Planilla!Títulos_a_imprimir</vt:lpstr>
      <vt:lpstr>TotalGD</vt:lpstr>
    </vt:vector>
  </TitlesOfParts>
  <Company>Indra Colombia Ltda.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hmpercy</dc:creator>
  <cp:lastModifiedBy>Hugo M. Percy G.</cp:lastModifiedBy>
  <cp:lastPrinted>2022-04-27T14:06:34Z</cp:lastPrinted>
  <dcterms:created xsi:type="dcterms:W3CDTF">2011-09-09T15:52:10Z</dcterms:created>
  <dcterms:modified xsi:type="dcterms:W3CDTF">2022-04-27T14:06:45Z</dcterms:modified>
</cp:coreProperties>
</file>