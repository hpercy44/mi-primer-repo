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DO\NADO_2022\Chequeo_Abr_23_2022\"/>
    </mc:Choice>
  </mc:AlternateContent>
  <xr:revisionPtr revIDLastSave="0" documentId="13_ncr:1_{7E6C4325-C78E-487C-92DF-AE0D05B0A797}" xr6:coauthVersionLast="47" xr6:coauthVersionMax="47" xr10:uidLastSave="{00000000-0000-0000-0000-000000000000}"/>
  <bookViews>
    <workbookView xWindow="-108" yWindow="-108" windowWidth="23256" windowHeight="12720" tabRatio="584" firstSheet="2" activeTab="3" xr2:uid="{00000000-000D-0000-FFFF-FFFF00000000}"/>
  </bookViews>
  <sheets>
    <sheet name="Datos" sheetId="145" state="hidden" r:id="rId1"/>
    <sheet name="Registro" sheetId="9" state="hidden" r:id="rId2"/>
    <sheet name="Parametros Iniciales" sheetId="1" r:id="rId3"/>
    <sheet name="Planilla" sheetId="249" r:id="rId4"/>
    <sheet name="PuntajesFinales" sheetId="230" r:id="rId5"/>
  </sheets>
  <functionGroups builtInGroupCount="19"/>
  <definedNames>
    <definedName name="_xlnm._FilterDatabase" localSheetId="3" hidden="1">Planilla!$A$7:$A$195</definedName>
    <definedName name="CantJueces">'Parametros Iniciales'!$K$16</definedName>
    <definedName name="Grupo_escogido">Datos!$N$7</definedName>
    <definedName name="HeadLin1">Datos!$A$4</definedName>
    <definedName name="HeadLin2">Datos!$A$5</definedName>
    <definedName name="HeadLin3">Datos!$A$6</definedName>
    <definedName name="HeadLin4">Datos!$A$7</definedName>
    <definedName name="IniTotales">Planilla!$S$7</definedName>
    <definedName name="JuecesCalc">'Parametros Iniciales'!$J$17</definedName>
    <definedName name="JuecesDisponibles">Datos!$G$10</definedName>
    <definedName name="JuecesPanel">'Parametros Iniciales'!$J$16</definedName>
    <definedName name="JuecesPanel1">'Parametros Iniciales'!$I$20:$I$26</definedName>
    <definedName name="JuecesPanel2">'Parametros Iniciales'!$I$29:$I$35</definedName>
    <definedName name="Nombres">'Parametros Iniciales'!$C$6</definedName>
    <definedName name="Obligatoria1Cod">Datos!$R$10</definedName>
    <definedName name="Obligatoria1GD">Datos!$S$10</definedName>
    <definedName name="Obligatoria1Nom">Datos!$Q$10</definedName>
    <definedName name="Obligatoria2Cod">Datos!$R$11</definedName>
    <definedName name="Obligatoria2GD">Datos!$S$11</definedName>
    <definedName name="Obligatoria2Nom">Datos!$Q$11</definedName>
    <definedName name="ObligatoriaTipo1">Datos!$P$10</definedName>
    <definedName name="ObligatoriaTipo2">Datos!$P$11</definedName>
    <definedName name="Opcional1Cod">Datos!$R$12</definedName>
    <definedName name="Opcional1GD">Datos!$S$12</definedName>
    <definedName name="Opcional1Nom">Datos!$Q$12</definedName>
    <definedName name="Opcional2Cod">Datos!$R$13</definedName>
    <definedName name="Opcional2GD">Datos!$S$13</definedName>
    <definedName name="Opcional2Nom">Datos!$Q$13</definedName>
    <definedName name="OpcionalTipo1">Datos!$P$12</definedName>
    <definedName name="OpcionalTipo2">Datos!$P$13</definedName>
    <definedName name="OrdenSalida">'Parametros Iniciales'!$B$6</definedName>
    <definedName name="RegistroImpar" comment="Formato para los registros pares.">Registro!$B$12:$S$16</definedName>
    <definedName name="RegistroNoCompite" comment="Formato para los registros de  quienes no compiten">Registro!$B$19:$S$23</definedName>
    <definedName name="RegistroPar" comment="Formato para los registros impares">Registro!$B$5:$S$9</definedName>
    <definedName name="TituloCategoria">Datos!$A$1</definedName>
    <definedName name="_xlnm.Print_Titles" localSheetId="3">Planilla!$1:$7</definedName>
    <definedName name="TotalGD">'Parametros Iniciales'!$N$7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5" i="249" l="1"/>
  <c r="A194" i="249"/>
  <c r="A193" i="249"/>
  <c r="A192" i="249"/>
  <c r="A191" i="249"/>
  <c r="A190" i="249"/>
  <c r="A189" i="249"/>
  <c r="A188" i="249"/>
  <c r="A187" i="249"/>
  <c r="A186" i="249"/>
  <c r="A185" i="249"/>
  <c r="A184" i="249"/>
  <c r="A183" i="249"/>
  <c r="A182" i="249"/>
  <c r="A181" i="249"/>
  <c r="A180" i="249"/>
  <c r="A179" i="249"/>
  <c r="A178" i="249"/>
  <c r="A177" i="249"/>
  <c r="A176" i="249"/>
  <c r="A175" i="249"/>
  <c r="A174" i="249"/>
  <c r="A173" i="249"/>
  <c r="A172" i="249"/>
  <c r="A171" i="249"/>
  <c r="A170" i="249"/>
  <c r="A169" i="249"/>
  <c r="A168" i="249"/>
  <c r="A167" i="249"/>
  <c r="A166" i="249"/>
  <c r="A165" i="249"/>
  <c r="A164" i="249"/>
  <c r="A163" i="249"/>
  <c r="A162" i="249"/>
  <c r="A161" i="249"/>
  <c r="A160" i="249"/>
  <c r="A159" i="249"/>
  <c r="A158" i="249"/>
  <c r="A157" i="249"/>
  <c r="A156" i="249"/>
  <c r="A155" i="249"/>
  <c r="A154" i="249"/>
  <c r="A153" i="249"/>
  <c r="A152" i="249"/>
  <c r="A151" i="249"/>
  <c r="A150" i="249"/>
  <c r="A149" i="249"/>
  <c r="A148" i="249"/>
  <c r="A147" i="249"/>
  <c r="A146" i="249"/>
  <c r="A145" i="249"/>
  <c r="A144" i="249"/>
  <c r="A143" i="249"/>
  <c r="A142" i="249"/>
  <c r="A141" i="249"/>
  <c r="A140" i="249"/>
  <c r="A139" i="249"/>
  <c r="A138" i="249"/>
  <c r="A137" i="249"/>
  <c r="A136" i="249"/>
  <c r="A135" i="249"/>
  <c r="A134" i="249"/>
  <c r="A133" i="249"/>
  <c r="A132" i="249"/>
  <c r="A131" i="249"/>
  <c r="A130" i="249"/>
  <c r="A129" i="249"/>
  <c r="A128" i="249"/>
  <c r="A127" i="249"/>
  <c r="A126" i="249"/>
  <c r="A125" i="249"/>
  <c r="A124" i="249"/>
  <c r="A123" i="249"/>
  <c r="A122" i="249"/>
  <c r="A121" i="249"/>
  <c r="A120" i="249"/>
  <c r="A119" i="249"/>
  <c r="A118" i="249"/>
  <c r="A117" i="249"/>
  <c r="A116" i="249"/>
  <c r="A115" i="249"/>
  <c r="A114" i="249"/>
  <c r="A113" i="249"/>
  <c r="A112" i="249"/>
  <c r="A111" i="249"/>
  <c r="A110" i="249"/>
  <c r="A109" i="249"/>
  <c r="A108" i="249"/>
  <c r="A107" i="249"/>
  <c r="A106" i="249"/>
  <c r="A105" i="249"/>
  <c r="A104" i="249"/>
  <c r="A103" i="249"/>
  <c r="A102" i="249"/>
  <c r="A101" i="249"/>
  <c r="A100" i="249"/>
  <c r="A99" i="249"/>
  <c r="A98" i="249"/>
  <c r="A97" i="249"/>
  <c r="A96" i="249"/>
  <c r="A95" i="249"/>
  <c r="A94" i="249"/>
  <c r="A93" i="249"/>
  <c r="A92" i="249"/>
  <c r="A91" i="249"/>
  <c r="A90" i="249"/>
  <c r="A89" i="249"/>
  <c r="A88" i="249"/>
  <c r="A87" i="249"/>
  <c r="A86" i="249"/>
  <c r="A85" i="249"/>
  <c r="A84" i="249"/>
  <c r="A83" i="249"/>
  <c r="A82" i="249"/>
  <c r="A81" i="249"/>
  <c r="A80" i="249"/>
  <c r="A79" i="249"/>
  <c r="A78" i="249"/>
  <c r="A77" i="249"/>
  <c r="A76" i="249"/>
  <c r="A75" i="249"/>
  <c r="A74" i="249"/>
  <c r="A73" i="249"/>
  <c r="A72" i="249"/>
  <c r="A71" i="249"/>
  <c r="A70" i="249"/>
  <c r="A69" i="249"/>
  <c r="A68" i="249"/>
  <c r="A67" i="249"/>
  <c r="A66" i="249"/>
  <c r="A65" i="249"/>
  <c r="A64" i="249"/>
  <c r="A63" i="249"/>
  <c r="A62" i="249"/>
  <c r="A61" i="249"/>
  <c r="A60" i="249"/>
  <c r="A59" i="249"/>
  <c r="A58" i="249"/>
  <c r="A57" i="249"/>
  <c r="A56" i="249"/>
  <c r="A55" i="249"/>
  <c r="A54" i="249"/>
  <c r="A53" i="249"/>
  <c r="A52" i="249"/>
  <c r="A51" i="249"/>
  <c r="A50" i="249"/>
  <c r="A49" i="249"/>
  <c r="A48" i="249"/>
  <c r="A47" i="249"/>
  <c r="A46" i="249"/>
  <c r="A45" i="249"/>
  <c r="A44" i="249"/>
  <c r="A43" i="249"/>
  <c r="A42" i="249"/>
  <c r="A41" i="249"/>
  <c r="A40" i="249"/>
  <c r="A39" i="249"/>
  <c r="A38" i="249"/>
  <c r="A37" i="249"/>
  <c r="A36" i="249"/>
  <c r="A35" i="249"/>
  <c r="A34" i="249"/>
  <c r="A33" i="249"/>
  <c r="A32" i="249"/>
  <c r="A31" i="249"/>
  <c r="A30" i="249"/>
  <c r="A29" i="249"/>
  <c r="A28" i="249"/>
  <c r="A27" i="249"/>
  <c r="A26" i="249"/>
  <c r="A25" i="249"/>
  <c r="A24" i="249"/>
  <c r="A23" i="249"/>
  <c r="A22" i="249"/>
  <c r="A21" i="249"/>
  <c r="A20" i="249"/>
  <c r="A19" i="249"/>
  <c r="A18" i="249"/>
  <c r="A17" i="249"/>
  <c r="A16" i="249"/>
  <c r="A15" i="249"/>
  <c r="A14" i="249"/>
  <c r="A13" i="249"/>
  <c r="A12" i="249"/>
  <c r="A11" i="249"/>
  <c r="A10" i="249"/>
  <c r="A9" i="249"/>
  <c r="A8" i="249"/>
  <c r="J114" i="249"/>
  <c r="E54" i="230" l="1"/>
  <c r="E53" i="230"/>
  <c r="L195" i="249"/>
  <c r="K195" i="249"/>
  <c r="E195" i="249"/>
  <c r="L194" i="249"/>
  <c r="K194" i="249"/>
  <c r="E194" i="249"/>
  <c r="L193" i="249"/>
  <c r="K193" i="249"/>
  <c r="E193" i="249"/>
  <c r="L192" i="249"/>
  <c r="K192" i="249"/>
  <c r="E192" i="249"/>
  <c r="L191" i="249"/>
  <c r="K191" i="249"/>
  <c r="E191" i="249"/>
  <c r="L190" i="249"/>
  <c r="K190" i="249"/>
  <c r="E190" i="249"/>
  <c r="L189" i="249"/>
  <c r="K189" i="249"/>
  <c r="E189" i="249"/>
  <c r="L188" i="249"/>
  <c r="K188" i="249"/>
  <c r="E188" i="249"/>
  <c r="L187" i="249"/>
  <c r="K187" i="249"/>
  <c r="E187" i="249"/>
  <c r="L186" i="249"/>
  <c r="K186" i="249"/>
  <c r="E186" i="249"/>
  <c r="L185" i="249"/>
  <c r="K185" i="249"/>
  <c r="E185" i="249"/>
  <c r="L184" i="249"/>
  <c r="K184" i="249"/>
  <c r="E184" i="249"/>
  <c r="L183" i="249"/>
  <c r="K183" i="249"/>
  <c r="E183" i="249"/>
  <c r="L182" i="249"/>
  <c r="K182" i="249"/>
  <c r="E182" i="249"/>
  <c r="L181" i="249"/>
  <c r="K181" i="249"/>
  <c r="M181" i="249" s="1"/>
  <c r="E181" i="249"/>
  <c r="L180" i="249"/>
  <c r="K180" i="249"/>
  <c r="E180" i="249"/>
  <c r="L179" i="249"/>
  <c r="K179" i="249"/>
  <c r="E179" i="249"/>
  <c r="L178" i="249"/>
  <c r="K178" i="249"/>
  <c r="E178" i="249"/>
  <c r="L177" i="249"/>
  <c r="K177" i="249"/>
  <c r="N177" i="249" s="1"/>
  <c r="E177" i="249"/>
  <c r="L176" i="249"/>
  <c r="K176" i="249"/>
  <c r="E176" i="249"/>
  <c r="L175" i="249"/>
  <c r="K175" i="249"/>
  <c r="E175" i="249"/>
  <c r="L174" i="249"/>
  <c r="K174" i="249"/>
  <c r="E174" i="249"/>
  <c r="L173" i="249"/>
  <c r="K173" i="249"/>
  <c r="E173" i="249"/>
  <c r="L172" i="249"/>
  <c r="K172" i="249"/>
  <c r="E172" i="249"/>
  <c r="L171" i="249"/>
  <c r="K171" i="249"/>
  <c r="E171" i="249"/>
  <c r="L170" i="249"/>
  <c r="K170" i="249"/>
  <c r="E170" i="249"/>
  <c r="L169" i="249"/>
  <c r="K169" i="249"/>
  <c r="E169" i="249"/>
  <c r="L168" i="249"/>
  <c r="K168" i="249"/>
  <c r="E168" i="249"/>
  <c r="L167" i="249"/>
  <c r="K167" i="249"/>
  <c r="E167" i="249"/>
  <c r="L166" i="249"/>
  <c r="K166" i="249"/>
  <c r="M166" i="249" s="1"/>
  <c r="E166" i="249"/>
  <c r="L165" i="249"/>
  <c r="K165" i="249"/>
  <c r="E165" i="249"/>
  <c r="L164" i="249"/>
  <c r="K164" i="249"/>
  <c r="E164" i="249"/>
  <c r="L163" i="249"/>
  <c r="K163" i="249"/>
  <c r="E163" i="249"/>
  <c r="L162" i="249"/>
  <c r="K162" i="249"/>
  <c r="E162" i="249"/>
  <c r="L161" i="249"/>
  <c r="K161" i="249"/>
  <c r="E161" i="249"/>
  <c r="L160" i="249"/>
  <c r="K160" i="249"/>
  <c r="E160" i="249"/>
  <c r="L159" i="249"/>
  <c r="K159" i="249"/>
  <c r="E159" i="249"/>
  <c r="L158" i="249"/>
  <c r="K158" i="249"/>
  <c r="E158" i="249"/>
  <c r="L157" i="249"/>
  <c r="K157" i="249"/>
  <c r="E157" i="249"/>
  <c r="L156" i="249"/>
  <c r="K156" i="249"/>
  <c r="E156" i="249"/>
  <c r="L155" i="249"/>
  <c r="K155" i="249"/>
  <c r="E155" i="249"/>
  <c r="L154" i="249"/>
  <c r="K154" i="249"/>
  <c r="E154" i="249"/>
  <c r="L153" i="249"/>
  <c r="K153" i="249"/>
  <c r="E153" i="249"/>
  <c r="L152" i="249"/>
  <c r="K152" i="249"/>
  <c r="E152" i="249"/>
  <c r="L151" i="249"/>
  <c r="K151" i="249"/>
  <c r="J151" i="249"/>
  <c r="I151" i="249"/>
  <c r="H151" i="249"/>
  <c r="E151" i="249"/>
  <c r="L150" i="249"/>
  <c r="K150" i="249"/>
  <c r="J150" i="249"/>
  <c r="I150" i="249"/>
  <c r="H150" i="249"/>
  <c r="E150" i="249"/>
  <c r="L149" i="249"/>
  <c r="K149" i="249"/>
  <c r="E149" i="249"/>
  <c r="L148" i="249"/>
  <c r="K148" i="249"/>
  <c r="E148" i="249"/>
  <c r="L147" i="249"/>
  <c r="K147" i="249"/>
  <c r="E147" i="249"/>
  <c r="L146" i="249"/>
  <c r="K146" i="249"/>
  <c r="E146" i="249"/>
  <c r="L145" i="249"/>
  <c r="K145" i="249"/>
  <c r="E145" i="249"/>
  <c r="L144" i="249"/>
  <c r="K144" i="249"/>
  <c r="E144" i="249"/>
  <c r="L143" i="249"/>
  <c r="K143" i="249"/>
  <c r="E143" i="249"/>
  <c r="L142" i="249"/>
  <c r="K142" i="249"/>
  <c r="E142" i="249"/>
  <c r="L141" i="249"/>
  <c r="K141" i="249"/>
  <c r="M141" i="249" s="1"/>
  <c r="E141" i="249"/>
  <c r="L140" i="249"/>
  <c r="K140" i="249"/>
  <c r="E140" i="249"/>
  <c r="L139" i="249"/>
  <c r="K139" i="249"/>
  <c r="E139" i="249"/>
  <c r="L138" i="249"/>
  <c r="K138" i="249"/>
  <c r="E138" i="249"/>
  <c r="L137" i="249"/>
  <c r="K137" i="249"/>
  <c r="E137" i="249"/>
  <c r="L136" i="249"/>
  <c r="K136" i="249"/>
  <c r="E136" i="249"/>
  <c r="L135" i="249"/>
  <c r="K135" i="249"/>
  <c r="E135" i="249"/>
  <c r="L134" i="249"/>
  <c r="K134" i="249"/>
  <c r="E134" i="249"/>
  <c r="L133" i="249"/>
  <c r="K133" i="249"/>
  <c r="E133" i="249"/>
  <c r="L132" i="249"/>
  <c r="K132" i="249"/>
  <c r="E132" i="249"/>
  <c r="L131" i="249"/>
  <c r="K131" i="249"/>
  <c r="E131" i="249"/>
  <c r="L130" i="249"/>
  <c r="K130" i="249"/>
  <c r="E130" i="249"/>
  <c r="L129" i="249"/>
  <c r="K129" i="249"/>
  <c r="E129" i="249"/>
  <c r="L128" i="249"/>
  <c r="K128" i="249"/>
  <c r="E128" i="249"/>
  <c r="L127" i="249"/>
  <c r="K127" i="249"/>
  <c r="E127" i="249"/>
  <c r="L126" i="249"/>
  <c r="M126" i="249" s="1"/>
  <c r="K126" i="249"/>
  <c r="E126" i="249"/>
  <c r="L125" i="249"/>
  <c r="K125" i="249"/>
  <c r="E125" i="249"/>
  <c r="L124" i="249"/>
  <c r="K124" i="249"/>
  <c r="E124" i="249"/>
  <c r="L123" i="249"/>
  <c r="K123" i="249"/>
  <c r="E123" i="249"/>
  <c r="L122" i="249"/>
  <c r="K122" i="249"/>
  <c r="E122" i="249"/>
  <c r="L121" i="249"/>
  <c r="K121" i="249"/>
  <c r="E121" i="249"/>
  <c r="L120" i="249"/>
  <c r="K120" i="249"/>
  <c r="E120" i="249"/>
  <c r="L119" i="249"/>
  <c r="K119" i="249"/>
  <c r="E119" i="249"/>
  <c r="L118" i="249"/>
  <c r="K118" i="249"/>
  <c r="E118" i="249"/>
  <c r="L117" i="249"/>
  <c r="K117" i="249"/>
  <c r="E117" i="249"/>
  <c r="L116" i="249"/>
  <c r="K116" i="249"/>
  <c r="E116" i="249"/>
  <c r="L115" i="249"/>
  <c r="K115" i="249"/>
  <c r="E115" i="249"/>
  <c r="L114" i="249"/>
  <c r="K114" i="249"/>
  <c r="E114" i="249"/>
  <c r="L113" i="249"/>
  <c r="K113" i="249"/>
  <c r="N113" i="249" s="1"/>
  <c r="E113" i="249"/>
  <c r="L112" i="249"/>
  <c r="K112" i="249"/>
  <c r="E112" i="249"/>
  <c r="L111" i="249"/>
  <c r="K111" i="249"/>
  <c r="E111" i="249"/>
  <c r="L110" i="249"/>
  <c r="K110" i="249"/>
  <c r="E110" i="249"/>
  <c r="L109" i="249"/>
  <c r="K109" i="249"/>
  <c r="E109" i="249"/>
  <c r="L108" i="249"/>
  <c r="K108" i="249"/>
  <c r="E108" i="249"/>
  <c r="L107" i="249"/>
  <c r="K107" i="249"/>
  <c r="E107" i="249"/>
  <c r="L106" i="249"/>
  <c r="K106" i="249"/>
  <c r="E106" i="249"/>
  <c r="L105" i="249"/>
  <c r="K105" i="249"/>
  <c r="E105" i="249"/>
  <c r="L104" i="249"/>
  <c r="K104" i="249"/>
  <c r="E104" i="249"/>
  <c r="L103" i="249"/>
  <c r="K103" i="249"/>
  <c r="E103" i="249"/>
  <c r="L102" i="249"/>
  <c r="K102" i="249"/>
  <c r="E102" i="249"/>
  <c r="L101" i="249"/>
  <c r="K101" i="249"/>
  <c r="E101" i="249"/>
  <c r="L100" i="249"/>
  <c r="K100" i="249"/>
  <c r="E100" i="249"/>
  <c r="L99" i="249"/>
  <c r="K99" i="249"/>
  <c r="E99" i="249"/>
  <c r="L98" i="249"/>
  <c r="K98" i="249"/>
  <c r="E98" i="249"/>
  <c r="L97" i="249"/>
  <c r="K97" i="249"/>
  <c r="E97" i="249"/>
  <c r="L96" i="249"/>
  <c r="K96" i="249"/>
  <c r="E96" i="249"/>
  <c r="L95" i="249"/>
  <c r="K95" i="249"/>
  <c r="E95" i="249"/>
  <c r="L94" i="249"/>
  <c r="K94" i="249"/>
  <c r="M94" i="249" s="1"/>
  <c r="E94" i="249"/>
  <c r="L93" i="249"/>
  <c r="N93" i="249" s="1"/>
  <c r="K93" i="249"/>
  <c r="E93" i="249"/>
  <c r="L92" i="249"/>
  <c r="K92" i="249"/>
  <c r="E92" i="249"/>
  <c r="L91" i="249"/>
  <c r="K91" i="249"/>
  <c r="E91" i="249"/>
  <c r="L90" i="249"/>
  <c r="K90" i="249"/>
  <c r="E90" i="249"/>
  <c r="L89" i="249"/>
  <c r="K89" i="249"/>
  <c r="E89" i="249"/>
  <c r="L88" i="249"/>
  <c r="K88" i="249"/>
  <c r="E88" i="249"/>
  <c r="L87" i="249"/>
  <c r="K87" i="249"/>
  <c r="J87" i="249"/>
  <c r="I87" i="249"/>
  <c r="H87" i="249"/>
  <c r="E87" i="249"/>
  <c r="L86" i="249"/>
  <c r="K86" i="249"/>
  <c r="J86" i="249"/>
  <c r="I86" i="249"/>
  <c r="H86" i="249"/>
  <c r="E86" i="249"/>
  <c r="L85" i="249"/>
  <c r="K85" i="249"/>
  <c r="E85" i="249"/>
  <c r="L84" i="249"/>
  <c r="K84" i="249"/>
  <c r="N84" i="249" s="1"/>
  <c r="E84" i="249"/>
  <c r="L83" i="249"/>
  <c r="K83" i="249"/>
  <c r="E83" i="249"/>
  <c r="L82" i="249"/>
  <c r="K82" i="249"/>
  <c r="E82" i="249"/>
  <c r="L81" i="249"/>
  <c r="K81" i="249"/>
  <c r="E81" i="249"/>
  <c r="L80" i="249"/>
  <c r="K80" i="249"/>
  <c r="E80" i="249"/>
  <c r="L79" i="249"/>
  <c r="K79" i="249"/>
  <c r="E79" i="249"/>
  <c r="L78" i="249"/>
  <c r="K78" i="249"/>
  <c r="E78" i="249"/>
  <c r="L77" i="249"/>
  <c r="K77" i="249"/>
  <c r="E77" i="249"/>
  <c r="L76" i="249"/>
  <c r="K76" i="249"/>
  <c r="E76" i="249"/>
  <c r="L75" i="249"/>
  <c r="K75" i="249"/>
  <c r="E75" i="249"/>
  <c r="L74" i="249"/>
  <c r="K74" i="249"/>
  <c r="E74" i="249"/>
  <c r="L73" i="249"/>
  <c r="K73" i="249"/>
  <c r="E73" i="249"/>
  <c r="L72" i="249"/>
  <c r="K72" i="249"/>
  <c r="E72" i="249"/>
  <c r="L71" i="249"/>
  <c r="K71" i="249"/>
  <c r="E71" i="249"/>
  <c r="L70" i="249"/>
  <c r="K70" i="249"/>
  <c r="E70" i="249"/>
  <c r="L69" i="249"/>
  <c r="K69" i="249"/>
  <c r="E69" i="249"/>
  <c r="L68" i="249"/>
  <c r="K68" i="249"/>
  <c r="E68" i="249"/>
  <c r="L67" i="249"/>
  <c r="K67" i="249"/>
  <c r="E67" i="249"/>
  <c r="L66" i="249"/>
  <c r="K66" i="249"/>
  <c r="E66" i="249"/>
  <c r="L65" i="249"/>
  <c r="K65" i="249"/>
  <c r="E65" i="249"/>
  <c r="L64" i="249"/>
  <c r="K64" i="249"/>
  <c r="E64" i="249"/>
  <c r="L63" i="249"/>
  <c r="K63" i="249"/>
  <c r="E63" i="249"/>
  <c r="L62" i="249"/>
  <c r="K62" i="249"/>
  <c r="E62" i="249"/>
  <c r="L61" i="249"/>
  <c r="K61" i="249"/>
  <c r="E61" i="249"/>
  <c r="L60" i="249"/>
  <c r="K60" i="249"/>
  <c r="E60" i="249"/>
  <c r="L59" i="249"/>
  <c r="K59" i="249"/>
  <c r="E59" i="249"/>
  <c r="L58" i="249"/>
  <c r="K58" i="249"/>
  <c r="E58" i="249"/>
  <c r="L57" i="249"/>
  <c r="K57" i="249"/>
  <c r="E57" i="249"/>
  <c r="L56" i="249"/>
  <c r="K56" i="249"/>
  <c r="E56" i="249"/>
  <c r="P55" i="249"/>
  <c r="O55" i="249"/>
  <c r="N55" i="249"/>
  <c r="M55" i="249"/>
  <c r="P54" i="249"/>
  <c r="O54" i="249"/>
  <c r="N54" i="249"/>
  <c r="M54" i="249"/>
  <c r="P53" i="249"/>
  <c r="O53" i="249"/>
  <c r="N53" i="249"/>
  <c r="M53" i="249"/>
  <c r="R52" i="249"/>
  <c r="P52" i="249"/>
  <c r="O52" i="249"/>
  <c r="N52" i="249"/>
  <c r="M52" i="249"/>
  <c r="L51" i="249"/>
  <c r="K51" i="249"/>
  <c r="E51" i="249"/>
  <c r="L50" i="249"/>
  <c r="K50" i="249"/>
  <c r="E50" i="249"/>
  <c r="L49" i="249"/>
  <c r="K49" i="249"/>
  <c r="E49" i="249"/>
  <c r="L48" i="249"/>
  <c r="K48" i="249"/>
  <c r="E48" i="249"/>
  <c r="L47" i="249"/>
  <c r="K47" i="249"/>
  <c r="E47" i="249"/>
  <c r="L46" i="249"/>
  <c r="K46" i="249"/>
  <c r="E46" i="249"/>
  <c r="L45" i="249"/>
  <c r="K45" i="249"/>
  <c r="N45" i="249" s="1"/>
  <c r="E45" i="249"/>
  <c r="L44" i="249"/>
  <c r="K44" i="249"/>
  <c r="E44" i="249"/>
  <c r="L43" i="249"/>
  <c r="K43" i="249"/>
  <c r="E43" i="249"/>
  <c r="L42" i="249"/>
  <c r="K42" i="249"/>
  <c r="E42" i="249"/>
  <c r="L41" i="249"/>
  <c r="K41" i="249"/>
  <c r="E41" i="249"/>
  <c r="L40" i="249"/>
  <c r="K40" i="249"/>
  <c r="E40" i="249"/>
  <c r="L39" i="249"/>
  <c r="K39" i="249"/>
  <c r="E39" i="249"/>
  <c r="L38" i="249"/>
  <c r="K38" i="249"/>
  <c r="E38" i="249"/>
  <c r="L37" i="249"/>
  <c r="K37" i="249"/>
  <c r="N37" i="249" s="1"/>
  <c r="E37" i="249"/>
  <c r="L36" i="249"/>
  <c r="K36" i="249"/>
  <c r="E36" i="249"/>
  <c r="L35" i="249"/>
  <c r="K35" i="249"/>
  <c r="E35" i="249"/>
  <c r="L34" i="249"/>
  <c r="K34" i="249"/>
  <c r="E34" i="249"/>
  <c r="L33" i="249"/>
  <c r="K33" i="249"/>
  <c r="E33" i="249"/>
  <c r="L32" i="249"/>
  <c r="K32" i="249"/>
  <c r="E32" i="249"/>
  <c r="L31" i="249"/>
  <c r="K31" i="249"/>
  <c r="E31" i="249"/>
  <c r="L30" i="249"/>
  <c r="K30" i="249"/>
  <c r="E30" i="249"/>
  <c r="L29" i="249"/>
  <c r="K29" i="249"/>
  <c r="E29" i="249"/>
  <c r="L28" i="249"/>
  <c r="K28" i="249"/>
  <c r="E28" i="249"/>
  <c r="L27" i="249"/>
  <c r="K27" i="249"/>
  <c r="E27" i="249"/>
  <c r="L26" i="249"/>
  <c r="K26" i="249"/>
  <c r="E26" i="249"/>
  <c r="L25" i="249"/>
  <c r="K25" i="249"/>
  <c r="E25" i="249"/>
  <c r="L24" i="249"/>
  <c r="K24" i="249"/>
  <c r="E24" i="249"/>
  <c r="L23" i="249"/>
  <c r="K23" i="249"/>
  <c r="J23" i="249"/>
  <c r="I23" i="249"/>
  <c r="H23" i="249"/>
  <c r="E23" i="249"/>
  <c r="L22" i="249"/>
  <c r="K22" i="249"/>
  <c r="J22" i="249"/>
  <c r="I22" i="249"/>
  <c r="H22" i="249"/>
  <c r="E22" i="249"/>
  <c r="L21" i="249"/>
  <c r="K21" i="249"/>
  <c r="E21" i="249"/>
  <c r="L20" i="249"/>
  <c r="K20" i="249"/>
  <c r="E20" i="249"/>
  <c r="L19" i="249"/>
  <c r="K19" i="249"/>
  <c r="E19" i="249"/>
  <c r="L18" i="249"/>
  <c r="K18" i="249"/>
  <c r="E18" i="249"/>
  <c r="L17" i="249"/>
  <c r="K17" i="249"/>
  <c r="E17" i="249"/>
  <c r="L16" i="249"/>
  <c r="K16" i="249"/>
  <c r="E16" i="249"/>
  <c r="P15" i="249"/>
  <c r="O15" i="249"/>
  <c r="N15" i="249"/>
  <c r="M15" i="249"/>
  <c r="P14" i="249"/>
  <c r="O14" i="249"/>
  <c r="N14" i="249"/>
  <c r="M14" i="249"/>
  <c r="P13" i="249"/>
  <c r="O13" i="249"/>
  <c r="N13" i="249"/>
  <c r="M13" i="249"/>
  <c r="R12" i="249"/>
  <c r="P12" i="249"/>
  <c r="O12" i="249"/>
  <c r="N12" i="249"/>
  <c r="M12" i="249"/>
  <c r="L11" i="249"/>
  <c r="K11" i="249"/>
  <c r="E11" i="249"/>
  <c r="L10" i="249"/>
  <c r="K10" i="249"/>
  <c r="E10" i="249"/>
  <c r="L9" i="249"/>
  <c r="K9" i="249"/>
  <c r="E9" i="249"/>
  <c r="L8" i="249"/>
  <c r="K8" i="249"/>
  <c r="E8" i="249"/>
  <c r="N60" i="249" l="1"/>
  <c r="M150" i="249"/>
  <c r="M69" i="249"/>
  <c r="P87" i="249"/>
  <c r="N166" i="249"/>
  <c r="N169" i="249"/>
  <c r="N65" i="249"/>
  <c r="N22" i="249"/>
  <c r="M87" i="249"/>
  <c r="M178" i="249"/>
  <c r="P86" i="249"/>
  <c r="P151" i="249"/>
  <c r="N86" i="249"/>
  <c r="M105" i="249"/>
  <c r="P150" i="249"/>
  <c r="P23" i="249"/>
  <c r="N150" i="249"/>
  <c r="O87" i="249"/>
  <c r="P22" i="249"/>
  <c r="N106" i="249"/>
  <c r="M162" i="249"/>
  <c r="N127" i="249"/>
  <c r="N111" i="249"/>
  <c r="M95" i="249"/>
  <c r="M75" i="249"/>
  <c r="N67" i="249"/>
  <c r="N51" i="249"/>
  <c r="N31" i="249"/>
  <c r="M19" i="249"/>
  <c r="O19" i="249" s="1"/>
  <c r="P19" i="249" s="1"/>
  <c r="M194" i="249"/>
  <c r="N194" i="249"/>
  <c r="M190" i="249"/>
  <c r="N190" i="249"/>
  <c r="N186" i="249"/>
  <c r="M182" i="249"/>
  <c r="N182" i="249"/>
  <c r="O166" i="249"/>
  <c r="P166" i="249" s="1"/>
  <c r="N162" i="249"/>
  <c r="O162" i="249" s="1"/>
  <c r="P162" i="249" s="1"/>
  <c r="M158" i="249"/>
  <c r="O158" i="249" s="1"/>
  <c r="P158" i="249" s="1"/>
  <c r="N158" i="249"/>
  <c r="M146" i="249"/>
  <c r="N138" i="249"/>
  <c r="M130" i="249"/>
  <c r="N130" i="249"/>
  <c r="N122" i="249"/>
  <c r="N118" i="249"/>
  <c r="M114" i="249"/>
  <c r="M110" i="249"/>
  <c r="M106" i="249"/>
  <c r="M102" i="249"/>
  <c r="N98" i="249"/>
  <c r="N94" i="249"/>
  <c r="O94" i="249" s="1"/>
  <c r="P94" i="249" s="1"/>
  <c r="M90" i="249"/>
  <c r="N78" i="249"/>
  <c r="M78" i="249"/>
  <c r="M74" i="249"/>
  <c r="N70" i="249"/>
  <c r="N62" i="249"/>
  <c r="M46" i="249"/>
  <c r="N42" i="249"/>
  <c r="N38" i="249"/>
  <c r="N34" i="249"/>
  <c r="N26" i="249"/>
  <c r="M26" i="249"/>
  <c r="M18" i="249"/>
  <c r="N10" i="249"/>
  <c r="M185" i="249"/>
  <c r="N185" i="249"/>
  <c r="O185" i="249" s="1"/>
  <c r="P185" i="249" s="1"/>
  <c r="N181" i="249"/>
  <c r="O181" i="249" s="1"/>
  <c r="P181" i="249" s="1"/>
  <c r="N173" i="249"/>
  <c r="M173" i="249"/>
  <c r="M169" i="249"/>
  <c r="M165" i="249"/>
  <c r="N161" i="249"/>
  <c r="N157" i="249"/>
  <c r="N153" i="249"/>
  <c r="M153" i="249"/>
  <c r="N145" i="249"/>
  <c r="M145" i="249"/>
  <c r="M137" i="249"/>
  <c r="N133" i="249"/>
  <c r="M133" i="249"/>
  <c r="M129" i="249"/>
  <c r="N125" i="249"/>
  <c r="M121" i="249"/>
  <c r="M117" i="249"/>
  <c r="N117" i="249"/>
  <c r="M113" i="249"/>
  <c r="O113" i="249" s="1"/>
  <c r="P113" i="249" s="1"/>
  <c r="N109" i="249"/>
  <c r="N105" i="249"/>
  <c r="N101" i="249"/>
  <c r="M101" i="249"/>
  <c r="O101" i="249" s="1"/>
  <c r="P101" i="249" s="1"/>
  <c r="M97" i="249"/>
  <c r="M93" i="249"/>
  <c r="O93" i="249" s="1"/>
  <c r="P93" i="249" s="1"/>
  <c r="M89" i="249"/>
  <c r="M81" i="249"/>
  <c r="M77" i="249"/>
  <c r="N73" i="249"/>
  <c r="N69" i="249"/>
  <c r="M65" i="249"/>
  <c r="O65" i="249" s="1"/>
  <c r="P65" i="249" s="1"/>
  <c r="M61" i="249"/>
  <c r="M57" i="249"/>
  <c r="O57" i="249" s="1"/>
  <c r="P57" i="249" s="1"/>
  <c r="M49" i="249"/>
  <c r="M45" i="249"/>
  <c r="O45" i="249" s="1"/>
  <c r="P45" i="249" s="1"/>
  <c r="M41" i="249"/>
  <c r="M33" i="249"/>
  <c r="M21" i="249"/>
  <c r="M17" i="249"/>
  <c r="M9" i="249"/>
  <c r="N124" i="249"/>
  <c r="N108" i="249"/>
  <c r="N80" i="249"/>
  <c r="N64" i="249"/>
  <c r="N56" i="249"/>
  <c r="N48" i="249"/>
  <c r="M32" i="249"/>
  <c r="N20" i="249"/>
  <c r="M193" i="249"/>
  <c r="N193" i="249"/>
  <c r="M192" i="249"/>
  <c r="O192" i="249" s="1"/>
  <c r="P192" i="249" s="1"/>
  <c r="M195" i="249"/>
  <c r="N192" i="249"/>
  <c r="N195" i="249"/>
  <c r="O195" i="249" s="1"/>
  <c r="P195" i="249" s="1"/>
  <c r="M189" i="249"/>
  <c r="N189" i="249"/>
  <c r="O189" i="249" s="1"/>
  <c r="P189" i="249" s="1"/>
  <c r="M188" i="249"/>
  <c r="O188" i="249" s="1"/>
  <c r="P188" i="249" s="1"/>
  <c r="O190" i="249"/>
  <c r="P190" i="249" s="1"/>
  <c r="M191" i="249"/>
  <c r="N188" i="249"/>
  <c r="N191" i="249"/>
  <c r="M186" i="249"/>
  <c r="O186" i="249" s="1"/>
  <c r="P186" i="249" s="1"/>
  <c r="M184" i="249"/>
  <c r="M187" i="249"/>
  <c r="N184" i="249"/>
  <c r="O184" i="249" s="1"/>
  <c r="P184" i="249" s="1"/>
  <c r="N187" i="249"/>
  <c r="M180" i="249"/>
  <c r="O180" i="249" s="1"/>
  <c r="P180" i="249" s="1"/>
  <c r="M183" i="249"/>
  <c r="N180" i="249"/>
  <c r="N183" i="249"/>
  <c r="M177" i="249"/>
  <c r="O177" i="249" s="1"/>
  <c r="P177" i="249" s="1"/>
  <c r="N178" i="249"/>
  <c r="O178" i="249" s="1"/>
  <c r="P178" i="249" s="1"/>
  <c r="M176" i="249"/>
  <c r="O176" i="249" s="1"/>
  <c r="P176" i="249" s="1"/>
  <c r="M179" i="249"/>
  <c r="N176" i="249"/>
  <c r="N179" i="249"/>
  <c r="M174" i="249"/>
  <c r="N174" i="249"/>
  <c r="M172" i="249"/>
  <c r="M175" i="249"/>
  <c r="N172" i="249"/>
  <c r="N175" i="249"/>
  <c r="M170" i="249"/>
  <c r="N170" i="249"/>
  <c r="M168" i="249"/>
  <c r="M171" i="249"/>
  <c r="N168" i="249"/>
  <c r="N171" i="249"/>
  <c r="N165" i="249"/>
  <c r="M164" i="249"/>
  <c r="M167" i="249"/>
  <c r="N164" i="249"/>
  <c r="N167" i="249"/>
  <c r="M161" i="249"/>
  <c r="O161" i="249" s="1"/>
  <c r="P161" i="249" s="1"/>
  <c r="M160" i="249"/>
  <c r="M163" i="249"/>
  <c r="N160" i="249"/>
  <c r="N163" i="249"/>
  <c r="M157" i="249"/>
  <c r="O157" i="249" s="1"/>
  <c r="P157" i="249" s="1"/>
  <c r="M156" i="249"/>
  <c r="M159" i="249"/>
  <c r="N156" i="249"/>
  <c r="N159" i="249"/>
  <c r="M154" i="249"/>
  <c r="N154" i="249"/>
  <c r="M152" i="249"/>
  <c r="M155" i="249"/>
  <c r="N152" i="249"/>
  <c r="N155" i="249"/>
  <c r="M149" i="249"/>
  <c r="N149" i="249"/>
  <c r="M148" i="249"/>
  <c r="O150" i="249"/>
  <c r="M151" i="249"/>
  <c r="N148" i="249"/>
  <c r="N151" i="249"/>
  <c r="O151" i="249"/>
  <c r="N146" i="249"/>
  <c r="M144" i="249"/>
  <c r="M147" i="249"/>
  <c r="N144" i="249"/>
  <c r="N147" i="249"/>
  <c r="N141" i="249"/>
  <c r="O141" i="249" s="1"/>
  <c r="P141" i="249" s="1"/>
  <c r="M142" i="249"/>
  <c r="N142" i="249"/>
  <c r="M140" i="249"/>
  <c r="M143" i="249"/>
  <c r="N140" i="249"/>
  <c r="N143" i="249"/>
  <c r="N137" i="249"/>
  <c r="O137" i="249" s="1"/>
  <c r="P137" i="249" s="1"/>
  <c r="M138" i="249"/>
  <c r="O138" i="249" s="1"/>
  <c r="P138" i="249" s="1"/>
  <c r="M136" i="249"/>
  <c r="M139" i="249"/>
  <c r="N136" i="249"/>
  <c r="N139" i="249"/>
  <c r="O139" i="249" s="1"/>
  <c r="P139" i="249" s="1"/>
  <c r="M134" i="249"/>
  <c r="N134" i="249"/>
  <c r="M132" i="249"/>
  <c r="M135" i="249"/>
  <c r="N132" i="249"/>
  <c r="N135" i="249"/>
  <c r="O135" i="249" s="1"/>
  <c r="P135" i="249" s="1"/>
  <c r="N129" i="249"/>
  <c r="O129" i="249"/>
  <c r="P129" i="249" s="1"/>
  <c r="M128" i="249"/>
  <c r="M131" i="249"/>
  <c r="O131" i="249" s="1"/>
  <c r="P131" i="249" s="1"/>
  <c r="N128" i="249"/>
  <c r="N131" i="249"/>
  <c r="M125" i="249"/>
  <c r="O125" i="249" s="1"/>
  <c r="P125" i="249" s="1"/>
  <c r="N126" i="249"/>
  <c r="O126" i="249" s="1"/>
  <c r="P126" i="249" s="1"/>
  <c r="M124" i="249"/>
  <c r="M127" i="249"/>
  <c r="N121" i="249"/>
  <c r="M122" i="249"/>
  <c r="M120" i="249"/>
  <c r="M123" i="249"/>
  <c r="N120" i="249"/>
  <c r="N123" i="249"/>
  <c r="O117" i="249"/>
  <c r="P117" i="249" s="1"/>
  <c r="M118" i="249"/>
  <c r="M116" i="249"/>
  <c r="M119" i="249"/>
  <c r="N116" i="249"/>
  <c r="N119" i="249"/>
  <c r="N114" i="249"/>
  <c r="M112" i="249"/>
  <c r="M115" i="249"/>
  <c r="N112" i="249"/>
  <c r="N115" i="249"/>
  <c r="M109" i="249"/>
  <c r="O109" i="249" s="1"/>
  <c r="P109" i="249" s="1"/>
  <c r="N110" i="249"/>
  <c r="M108" i="249"/>
  <c r="M111" i="249"/>
  <c r="M104" i="249"/>
  <c r="M107" i="249"/>
  <c r="N104" i="249"/>
  <c r="N107" i="249"/>
  <c r="N102" i="249"/>
  <c r="M100" i="249"/>
  <c r="M103" i="249"/>
  <c r="N100" i="249"/>
  <c r="N103" i="249"/>
  <c r="N97" i="249"/>
  <c r="O97" i="249" s="1"/>
  <c r="P97" i="249" s="1"/>
  <c r="M98" i="249"/>
  <c r="O98" i="249" s="1"/>
  <c r="P98" i="249" s="1"/>
  <c r="M96" i="249"/>
  <c r="M99" i="249"/>
  <c r="N96" i="249"/>
  <c r="N99" i="249"/>
  <c r="M92" i="249"/>
  <c r="N92" i="249"/>
  <c r="N95" i="249"/>
  <c r="O95" i="249" s="1"/>
  <c r="P95" i="249" s="1"/>
  <c r="N89" i="249"/>
  <c r="N90" i="249"/>
  <c r="M88" i="249"/>
  <c r="M91" i="249"/>
  <c r="N88" i="249"/>
  <c r="N91" i="249"/>
  <c r="O91" i="249" s="1"/>
  <c r="P91" i="249" s="1"/>
  <c r="M85" i="249"/>
  <c r="N85" i="249"/>
  <c r="M86" i="249"/>
  <c r="M84" i="249"/>
  <c r="O84" i="249" s="1"/>
  <c r="P84" i="249" s="1"/>
  <c r="O86" i="249"/>
  <c r="N87" i="249"/>
  <c r="N81" i="249"/>
  <c r="M82" i="249"/>
  <c r="N82" i="249"/>
  <c r="O82" i="249" s="1"/>
  <c r="P82" i="249" s="1"/>
  <c r="M80" i="249"/>
  <c r="M83" i="249"/>
  <c r="N83" i="249"/>
  <c r="N77" i="249"/>
  <c r="M76" i="249"/>
  <c r="M79" i="249"/>
  <c r="N76" i="249"/>
  <c r="N79" i="249"/>
  <c r="M73" i="249"/>
  <c r="N74" i="249"/>
  <c r="O74" i="249" s="1"/>
  <c r="P74" i="249" s="1"/>
  <c r="M72" i="249"/>
  <c r="N72" i="249"/>
  <c r="N75" i="249"/>
  <c r="O69" i="249"/>
  <c r="P69" i="249" s="1"/>
  <c r="M70" i="249"/>
  <c r="O70" i="249" s="1"/>
  <c r="P70" i="249" s="1"/>
  <c r="M68" i="249"/>
  <c r="M71" i="249"/>
  <c r="O71" i="249" s="1"/>
  <c r="P71" i="249" s="1"/>
  <c r="N68" i="249"/>
  <c r="N71" i="249"/>
  <c r="M66" i="249"/>
  <c r="N66" i="249"/>
  <c r="M64" i="249"/>
  <c r="O64" i="249" s="1"/>
  <c r="P64" i="249" s="1"/>
  <c r="M67" i="249"/>
  <c r="N61" i="249"/>
  <c r="M62" i="249"/>
  <c r="M60" i="249"/>
  <c r="O60" i="249" s="1"/>
  <c r="P60" i="249" s="1"/>
  <c r="M63" i="249"/>
  <c r="N63" i="249"/>
  <c r="N57" i="249"/>
  <c r="M58" i="249"/>
  <c r="N58" i="249"/>
  <c r="M56" i="249"/>
  <c r="O56" i="249" s="1"/>
  <c r="P56" i="249" s="1"/>
  <c r="M59" i="249"/>
  <c r="N59" i="249"/>
  <c r="N49" i="249"/>
  <c r="M50" i="249"/>
  <c r="N50" i="249"/>
  <c r="M48" i="249"/>
  <c r="M51" i="249"/>
  <c r="N46" i="249"/>
  <c r="O46" i="249" s="1"/>
  <c r="P46" i="249" s="1"/>
  <c r="M44" i="249"/>
  <c r="M47" i="249"/>
  <c r="N44" i="249"/>
  <c r="N47" i="249"/>
  <c r="N41" i="249"/>
  <c r="O41" i="249"/>
  <c r="P41" i="249" s="1"/>
  <c r="M42" i="249"/>
  <c r="O42" i="249" s="1"/>
  <c r="P42" i="249" s="1"/>
  <c r="M40" i="249"/>
  <c r="M43" i="249"/>
  <c r="N40" i="249"/>
  <c r="N43" i="249"/>
  <c r="M37" i="249"/>
  <c r="O37" i="249" s="1"/>
  <c r="P37" i="249" s="1"/>
  <c r="M38" i="249"/>
  <c r="M36" i="249"/>
  <c r="M39" i="249"/>
  <c r="N36" i="249"/>
  <c r="N39" i="249"/>
  <c r="N33" i="249"/>
  <c r="O33" i="249" s="1"/>
  <c r="P33" i="249" s="1"/>
  <c r="M34" i="249"/>
  <c r="M35" i="249"/>
  <c r="N32" i="249"/>
  <c r="N35" i="249"/>
  <c r="N28" i="249"/>
  <c r="M29" i="249"/>
  <c r="N29" i="249"/>
  <c r="M30" i="249"/>
  <c r="N30" i="249"/>
  <c r="M28" i="249"/>
  <c r="M31" i="249"/>
  <c r="O31" i="249" s="1"/>
  <c r="P31" i="249" s="1"/>
  <c r="M25" i="249"/>
  <c r="N25" i="249"/>
  <c r="M27" i="249"/>
  <c r="M24" i="249"/>
  <c r="N24" i="249"/>
  <c r="N27" i="249"/>
  <c r="N21" i="249"/>
  <c r="O21" i="249" s="1"/>
  <c r="P21" i="249" s="1"/>
  <c r="M22" i="249"/>
  <c r="M20" i="249"/>
  <c r="O22" i="249"/>
  <c r="M23" i="249"/>
  <c r="N23" i="249"/>
  <c r="O23" i="249"/>
  <c r="N17" i="249"/>
  <c r="O17" i="249" s="1"/>
  <c r="P17" i="249" s="1"/>
  <c r="N18" i="249"/>
  <c r="O18" i="249" s="1"/>
  <c r="P18" i="249" s="1"/>
  <c r="M16" i="249"/>
  <c r="N16" i="249"/>
  <c r="N19" i="249"/>
  <c r="N9" i="249"/>
  <c r="M8" i="249"/>
  <c r="M11" i="249"/>
  <c r="M10" i="249"/>
  <c r="N8" i="249"/>
  <c r="N11" i="249"/>
  <c r="E25" i="145"/>
  <c r="E12" i="145"/>
  <c r="B2" i="1"/>
  <c r="B5" i="1"/>
  <c r="P10" i="145" a="1"/>
  <c r="P10" i="145" s="1"/>
  <c r="P12" i="145" a="1"/>
  <c r="A1" i="145"/>
  <c r="A6" i="145" s="1"/>
  <c r="P8" i="145"/>
  <c r="O169" i="249" l="1"/>
  <c r="P169" i="249" s="1"/>
  <c r="O78" i="249"/>
  <c r="P78" i="249" s="1"/>
  <c r="O36" i="249"/>
  <c r="P36" i="249" s="1"/>
  <c r="O194" i="249"/>
  <c r="P194" i="249" s="1"/>
  <c r="O111" i="249"/>
  <c r="P111" i="249" s="1"/>
  <c r="O144" i="249"/>
  <c r="P144" i="249" s="1"/>
  <c r="O38" i="249"/>
  <c r="P38" i="249" s="1"/>
  <c r="O149" i="249"/>
  <c r="P149" i="249" s="1"/>
  <c r="O172" i="249"/>
  <c r="P172" i="249" s="1"/>
  <c r="O49" i="249"/>
  <c r="P49" i="249" s="1"/>
  <c r="O76" i="249"/>
  <c r="P76" i="249" s="1"/>
  <c r="O100" i="249"/>
  <c r="P100" i="249" s="1"/>
  <c r="O120" i="249"/>
  <c r="P120" i="249" s="1"/>
  <c r="O159" i="249"/>
  <c r="P159" i="249" s="1"/>
  <c r="O140" i="249"/>
  <c r="P140" i="249" s="1"/>
  <c r="O43" i="249"/>
  <c r="P43" i="249" s="1"/>
  <c r="O9" i="249"/>
  <c r="P9" i="249" s="1"/>
  <c r="O27" i="249"/>
  <c r="P27" i="249" s="1"/>
  <c r="O63" i="249"/>
  <c r="P63" i="249" s="1"/>
  <c r="O99" i="249"/>
  <c r="P99" i="249" s="1"/>
  <c r="O119" i="249"/>
  <c r="P119" i="249" s="1"/>
  <c r="R116" i="249" s="1"/>
  <c r="S116" i="249" s="1"/>
  <c r="E14" i="230" s="1"/>
  <c r="O168" i="249"/>
  <c r="P168" i="249" s="1"/>
  <c r="O191" i="249"/>
  <c r="P191" i="249" s="1"/>
  <c r="O105" i="249"/>
  <c r="P105" i="249" s="1"/>
  <c r="O102" i="249"/>
  <c r="P102" i="249" s="1"/>
  <c r="O154" i="249"/>
  <c r="P154" i="249" s="1"/>
  <c r="O175" i="249"/>
  <c r="P175" i="249" s="1"/>
  <c r="O50" i="249"/>
  <c r="P50" i="249" s="1"/>
  <c r="O47" i="249"/>
  <c r="P47" i="249" s="1"/>
  <c r="O59" i="249"/>
  <c r="P59" i="249" s="1"/>
  <c r="O90" i="249"/>
  <c r="P90" i="249" s="1"/>
  <c r="O116" i="249"/>
  <c r="P116" i="249" s="1"/>
  <c r="O121" i="249"/>
  <c r="P121" i="249" s="1"/>
  <c r="O155" i="249"/>
  <c r="P155" i="249" s="1"/>
  <c r="O179" i="249"/>
  <c r="P179" i="249" s="1"/>
  <c r="R176" i="249" s="1"/>
  <c r="S176" i="249" s="1"/>
  <c r="E46" i="230" s="1"/>
  <c r="O106" i="249"/>
  <c r="P106" i="249" s="1"/>
  <c r="O58" i="249"/>
  <c r="P58" i="249" s="1"/>
  <c r="R56" i="249" s="1"/>
  <c r="S56" i="249" s="1"/>
  <c r="E43" i="230" s="1"/>
  <c r="O123" i="249"/>
  <c r="P123" i="249" s="1"/>
  <c r="O89" i="249"/>
  <c r="P89" i="249" s="1"/>
  <c r="O118" i="249"/>
  <c r="P118" i="249" s="1"/>
  <c r="O127" i="249"/>
  <c r="P127" i="249" s="1"/>
  <c r="O143" i="249"/>
  <c r="P143" i="249" s="1"/>
  <c r="O147" i="249"/>
  <c r="P147" i="249" s="1"/>
  <c r="O110" i="249"/>
  <c r="P110" i="249" s="1"/>
  <c r="O187" i="249"/>
  <c r="P187" i="249" s="1"/>
  <c r="R184" i="249" s="1"/>
  <c r="S184" i="249" s="1"/>
  <c r="E13" i="230" s="1"/>
  <c r="O183" i="249"/>
  <c r="P183" i="249" s="1"/>
  <c r="O171" i="249"/>
  <c r="P171" i="249" s="1"/>
  <c r="O167" i="249"/>
  <c r="P167" i="249" s="1"/>
  <c r="O163" i="249"/>
  <c r="P163" i="249" s="1"/>
  <c r="O115" i="249"/>
  <c r="P115" i="249" s="1"/>
  <c r="O107" i="249"/>
  <c r="P107" i="249" s="1"/>
  <c r="O103" i="249"/>
  <c r="P103" i="249" s="1"/>
  <c r="O83" i="249"/>
  <c r="P83" i="249" s="1"/>
  <c r="O79" i="249"/>
  <c r="P79" i="249" s="1"/>
  <c r="O75" i="249"/>
  <c r="P75" i="249" s="1"/>
  <c r="O67" i="249"/>
  <c r="P67" i="249" s="1"/>
  <c r="O51" i="249"/>
  <c r="P51" i="249" s="1"/>
  <c r="O39" i="249"/>
  <c r="P39" i="249" s="1"/>
  <c r="R36" i="249" s="1"/>
  <c r="S36" i="249" s="1"/>
  <c r="E11" i="230" s="1"/>
  <c r="O35" i="249"/>
  <c r="P35" i="249" s="1"/>
  <c r="O11" i="249"/>
  <c r="P11" i="249" s="1"/>
  <c r="O182" i="249"/>
  <c r="P182" i="249" s="1"/>
  <c r="O174" i="249"/>
  <c r="P174" i="249" s="1"/>
  <c r="O170" i="249"/>
  <c r="P170" i="249" s="1"/>
  <c r="O146" i="249"/>
  <c r="P146" i="249" s="1"/>
  <c r="O142" i="249"/>
  <c r="P142" i="249" s="1"/>
  <c r="R140" i="249" s="1"/>
  <c r="S140" i="249" s="1"/>
  <c r="E32" i="230" s="1"/>
  <c r="O134" i="249"/>
  <c r="P134" i="249" s="1"/>
  <c r="O130" i="249"/>
  <c r="P130" i="249" s="1"/>
  <c r="O122" i="249"/>
  <c r="P122" i="249" s="1"/>
  <c r="O114" i="249"/>
  <c r="P114" i="249" s="1"/>
  <c r="O66" i="249"/>
  <c r="P66" i="249" s="1"/>
  <c r="R64" i="249" s="1"/>
  <c r="S64" i="249" s="1"/>
  <c r="E23" i="230" s="1"/>
  <c r="O62" i="249"/>
  <c r="P62" i="249" s="1"/>
  <c r="O34" i="249"/>
  <c r="P34" i="249" s="1"/>
  <c r="O30" i="249"/>
  <c r="P30" i="249" s="1"/>
  <c r="O26" i="249"/>
  <c r="P26" i="249" s="1"/>
  <c r="O10" i="249"/>
  <c r="P10" i="249" s="1"/>
  <c r="O193" i="249"/>
  <c r="P193" i="249" s="1"/>
  <c r="R192" i="249" s="1"/>
  <c r="S192" i="249" s="1"/>
  <c r="E25" i="230" s="1"/>
  <c r="R188" i="249"/>
  <c r="S188" i="249" s="1"/>
  <c r="E24" i="230" s="1"/>
  <c r="O173" i="249"/>
  <c r="P173" i="249" s="1"/>
  <c r="O165" i="249"/>
  <c r="P165" i="249" s="1"/>
  <c r="O153" i="249"/>
  <c r="P153" i="249" s="1"/>
  <c r="O145" i="249"/>
  <c r="P145" i="249" s="1"/>
  <c r="O133" i="249"/>
  <c r="P133" i="249" s="1"/>
  <c r="O85" i="249"/>
  <c r="P85" i="249" s="1"/>
  <c r="R84" i="249" s="1"/>
  <c r="S84" i="249" s="1"/>
  <c r="E51" i="230" s="1"/>
  <c r="O81" i="249"/>
  <c r="P81" i="249" s="1"/>
  <c r="O77" i="249"/>
  <c r="P77" i="249" s="1"/>
  <c r="R76" i="249" s="1"/>
  <c r="S76" i="249" s="1"/>
  <c r="E8" i="230" s="1"/>
  <c r="O73" i="249"/>
  <c r="P73" i="249" s="1"/>
  <c r="O61" i="249"/>
  <c r="P61" i="249" s="1"/>
  <c r="O29" i="249"/>
  <c r="P29" i="249" s="1"/>
  <c r="O25" i="249"/>
  <c r="P25" i="249" s="1"/>
  <c r="O164" i="249"/>
  <c r="P164" i="249" s="1"/>
  <c r="O160" i="249"/>
  <c r="P160" i="249" s="1"/>
  <c r="O156" i="249"/>
  <c r="P156" i="249" s="1"/>
  <c r="O152" i="249"/>
  <c r="P152" i="249" s="1"/>
  <c r="O148" i="249"/>
  <c r="P148" i="249" s="1"/>
  <c r="R148" i="249" s="1"/>
  <c r="S148" i="249" s="1"/>
  <c r="E52" i="230" s="1"/>
  <c r="O136" i="249"/>
  <c r="P136" i="249" s="1"/>
  <c r="R136" i="249" s="1"/>
  <c r="S136" i="249" s="1"/>
  <c r="E19" i="230" s="1"/>
  <c r="O132" i="249"/>
  <c r="P132" i="249" s="1"/>
  <c r="O128" i="249"/>
  <c r="P128" i="249" s="1"/>
  <c r="O124" i="249"/>
  <c r="P124" i="249" s="1"/>
  <c r="R124" i="249" s="1"/>
  <c r="S124" i="249" s="1"/>
  <c r="E10" i="230" s="1"/>
  <c r="O112" i="249"/>
  <c r="P112" i="249" s="1"/>
  <c r="O108" i="249"/>
  <c r="P108" i="249" s="1"/>
  <c r="O104" i="249"/>
  <c r="P104" i="249" s="1"/>
  <c r="O96" i="249"/>
  <c r="P96" i="249" s="1"/>
  <c r="R96" i="249" s="1"/>
  <c r="S96" i="249" s="1"/>
  <c r="E39" i="230" s="1"/>
  <c r="O92" i="249"/>
  <c r="P92" i="249" s="1"/>
  <c r="R92" i="249" s="1"/>
  <c r="S92" i="249" s="1"/>
  <c r="E30" i="230" s="1"/>
  <c r="O88" i="249"/>
  <c r="P88" i="249" s="1"/>
  <c r="R88" i="249" s="1"/>
  <c r="S88" i="249" s="1"/>
  <c r="E34" i="230" s="1"/>
  <c r="O80" i="249"/>
  <c r="P80" i="249" s="1"/>
  <c r="O72" i="249"/>
  <c r="P72" i="249" s="1"/>
  <c r="R72" i="249" s="1"/>
  <c r="S72" i="249" s="1"/>
  <c r="E18" i="230" s="1"/>
  <c r="O68" i="249"/>
  <c r="P68" i="249" s="1"/>
  <c r="R68" i="249" s="1"/>
  <c r="S68" i="249" s="1"/>
  <c r="E28" i="230" s="1"/>
  <c r="O48" i="249"/>
  <c r="P48" i="249" s="1"/>
  <c r="O44" i="249"/>
  <c r="P44" i="249" s="1"/>
  <c r="O40" i="249"/>
  <c r="P40" i="249" s="1"/>
  <c r="R40" i="249" s="1"/>
  <c r="S40" i="249" s="1"/>
  <c r="E12" i="230" s="1"/>
  <c r="O32" i="249"/>
  <c r="P32" i="249" s="1"/>
  <c r="O28" i="249"/>
  <c r="P28" i="249" s="1"/>
  <c r="R28" i="249" s="1"/>
  <c r="S28" i="249" s="1"/>
  <c r="E9" i="230" s="1"/>
  <c r="O24" i="249"/>
  <c r="P24" i="249" s="1"/>
  <c r="R24" i="249" s="1"/>
  <c r="S24" i="249" s="1"/>
  <c r="E40" i="230" s="1"/>
  <c r="O20" i="249"/>
  <c r="P20" i="249" s="1"/>
  <c r="R20" i="249" s="1"/>
  <c r="S20" i="249" s="1"/>
  <c r="E50" i="230" s="1"/>
  <c r="O16" i="249"/>
  <c r="P16" i="249" s="1"/>
  <c r="R16" i="249" s="1"/>
  <c r="S16" i="249" s="1"/>
  <c r="E47" i="230" s="1"/>
  <c r="O8" i="249"/>
  <c r="P8" i="249" s="1"/>
  <c r="P12" i="145"/>
  <c r="L9" i="1"/>
  <c r="I9" i="1"/>
  <c r="M10" i="1"/>
  <c r="I10" i="1"/>
  <c r="M9" i="1"/>
  <c r="L10" i="1"/>
  <c r="B3" i="1"/>
  <c r="A2" i="230"/>
  <c r="H8" i="1"/>
  <c r="I8" i="1"/>
  <c r="L8" i="1"/>
  <c r="M8" i="1"/>
  <c r="L7" i="1"/>
  <c r="M7" i="1"/>
  <c r="H7" i="1"/>
  <c r="I7" i="1"/>
  <c r="E11" i="145"/>
  <c r="E13" i="145"/>
  <c r="E14" i="145"/>
  <c r="E15" i="145"/>
  <c r="E16" i="145"/>
  <c r="E17" i="145"/>
  <c r="E18" i="145"/>
  <c r="E19" i="145"/>
  <c r="E20" i="145"/>
  <c r="E21" i="145"/>
  <c r="E22" i="145"/>
  <c r="E23" i="145"/>
  <c r="E24" i="145"/>
  <c r="E10" i="145"/>
  <c r="A4" i="230"/>
  <c r="A3" i="230"/>
  <c r="A1" i="230"/>
  <c r="B4" i="249"/>
  <c r="B3" i="249"/>
  <c r="B1" i="249"/>
  <c r="K16" i="1"/>
  <c r="I8" i="9"/>
  <c r="H8" i="9"/>
  <c r="I7" i="9"/>
  <c r="H7" i="9"/>
  <c r="I6" i="9"/>
  <c r="H6" i="9"/>
  <c r="I5" i="9"/>
  <c r="H5" i="9"/>
  <c r="I15" i="9"/>
  <c r="H15" i="9"/>
  <c r="I14" i="9"/>
  <c r="H14" i="9"/>
  <c r="I13" i="9"/>
  <c r="H13" i="9"/>
  <c r="I12" i="9"/>
  <c r="H12" i="9"/>
  <c r="R180" i="249" l="1"/>
  <c r="S180" i="249" s="1"/>
  <c r="E16" i="230" s="1"/>
  <c r="R144" i="249"/>
  <c r="S144" i="249" s="1"/>
  <c r="E17" i="230" s="1"/>
  <c r="R44" i="249"/>
  <c r="S44" i="249" s="1"/>
  <c r="E33" i="230" s="1"/>
  <c r="R108" i="249"/>
  <c r="S108" i="249" s="1"/>
  <c r="E27" i="230" s="1"/>
  <c r="R156" i="249"/>
  <c r="S156" i="249" s="1"/>
  <c r="E48" i="230" s="1"/>
  <c r="R168" i="249"/>
  <c r="S168" i="249" s="1"/>
  <c r="E36" i="230" s="1"/>
  <c r="R80" i="249"/>
  <c r="S80" i="249" s="1"/>
  <c r="E29" i="230" s="1"/>
  <c r="R120" i="249"/>
  <c r="S120" i="249" s="1"/>
  <c r="E38" i="230" s="1"/>
  <c r="R100" i="249"/>
  <c r="S100" i="249" s="1"/>
  <c r="E22" i="230" s="1"/>
  <c r="R32" i="249"/>
  <c r="S32" i="249" s="1"/>
  <c r="E37" i="230" s="1"/>
  <c r="R132" i="249"/>
  <c r="S132" i="249" s="1"/>
  <c r="E41" i="230" s="1"/>
  <c r="R104" i="249"/>
  <c r="S104" i="249" s="1"/>
  <c r="E20" i="230" s="1"/>
  <c r="R152" i="249"/>
  <c r="S152" i="249" s="1"/>
  <c r="E15" i="230" s="1"/>
  <c r="R60" i="249"/>
  <c r="S60" i="249" s="1"/>
  <c r="E21" i="230" s="1"/>
  <c r="R128" i="249"/>
  <c r="S128" i="249" s="1"/>
  <c r="E26" i="230" s="1"/>
  <c r="R8" i="249"/>
  <c r="S8" i="249" s="1"/>
  <c r="E49" i="230" s="1"/>
  <c r="R48" i="249"/>
  <c r="S48" i="249" s="1"/>
  <c r="E35" i="230" s="1"/>
  <c r="R112" i="249"/>
  <c r="S112" i="249" s="1"/>
  <c r="E31" i="230" s="1"/>
  <c r="R160" i="249"/>
  <c r="S160" i="249" s="1"/>
  <c r="E44" i="230" s="1"/>
  <c r="R172" i="249"/>
  <c r="S172" i="249" s="1"/>
  <c r="E42" i="230" s="1"/>
  <c r="R164" i="249"/>
  <c r="S164" i="249" s="1"/>
  <c r="E45" i="230" s="1"/>
  <c r="B2" i="249"/>
  <c r="E6" i="9"/>
  <c r="E12" i="9"/>
  <c r="E5" i="9"/>
  <c r="E13" i="9"/>
  <c r="G10" i="145" a="1"/>
  <c r="G10" i="145" s="1"/>
  <c r="J14" i="9"/>
  <c r="K14" i="9" s="1"/>
  <c r="J7" i="9"/>
  <c r="K7" i="9" s="1"/>
  <c r="J12" i="9"/>
  <c r="K12" i="9" s="1"/>
  <c r="J5" i="9"/>
  <c r="K5" i="9" s="1"/>
  <c r="J8" i="9"/>
  <c r="J13" i="9"/>
  <c r="J15" i="9"/>
  <c r="K15" i="9" s="1"/>
  <c r="J6" i="9"/>
  <c r="N20" i="9"/>
  <c r="L12" i="9"/>
  <c r="K8" i="9"/>
  <c r="L8" i="9" s="1"/>
  <c r="L15" i="9"/>
  <c r="K13" i="9" l="1"/>
  <c r="L13" i="9" s="1"/>
  <c r="M13" i="9" s="1"/>
  <c r="K6" i="9"/>
  <c r="L6" i="9" s="1"/>
  <c r="N7" i="1"/>
  <c r="E14" i="9"/>
  <c r="E7" i="9"/>
  <c r="E8" i="9"/>
  <c r="E15" i="9"/>
  <c r="M19" i="9"/>
  <c r="P15" i="9"/>
  <c r="O19" i="9"/>
  <c r="P20" i="9"/>
  <c r="M20" i="9"/>
  <c r="O20" i="9"/>
  <c r="P19" i="9"/>
  <c r="N19" i="9"/>
  <c r="N12" i="9"/>
  <c r="M15" i="9"/>
  <c r="M12" i="9"/>
  <c r="P12" i="9"/>
  <c r="O15" i="9"/>
  <c r="N15" i="9"/>
  <c r="N8" i="9"/>
  <c r="M8" i="9"/>
  <c r="P8" i="9"/>
  <c r="O8" i="9"/>
  <c r="N22" i="9"/>
  <c r="P22" i="9"/>
  <c r="M22" i="9"/>
  <c r="L5" i="9"/>
  <c r="N21" i="9"/>
  <c r="O22" i="9"/>
  <c r="L14" i="9"/>
  <c r="O12" i="9"/>
  <c r="L7" i="9"/>
  <c r="O7" i="9" s="1"/>
  <c r="O13" i="9" l="1"/>
  <c r="P13" i="9"/>
  <c r="S5" i="9"/>
  <c r="N13" i="9"/>
  <c r="S12" i="9"/>
  <c r="O6" i="9"/>
  <c r="P6" i="9"/>
  <c r="M6" i="9"/>
  <c r="N6" i="9"/>
  <c r="M21" i="9"/>
  <c r="P21" i="9"/>
  <c r="N14" i="9"/>
  <c r="R19" i="9"/>
  <c r="O21" i="9"/>
  <c r="P5" i="9"/>
  <c r="M5" i="9"/>
  <c r="N7" i="9"/>
  <c r="R5" i="9"/>
  <c r="N5" i="9"/>
  <c r="P14" i="9"/>
  <c r="R12" i="9"/>
  <c r="M7" i="9"/>
  <c r="P7" i="9"/>
  <c r="O14" i="9"/>
  <c r="M14" i="9"/>
  <c r="O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M. Percy G.</author>
  </authors>
  <commentList>
    <comment ref="E8" authorId="0" shapeId="0" xr:uid="{AE094F46-0BB6-47E6-958D-BF66C5EC2816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9" authorId="0" shapeId="0" xr:uid="{7F9776C2-D99A-480B-9E42-D0077E52B52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0" authorId="0" shapeId="0" xr:uid="{D3A4BFEF-C3A5-4131-AA28-0EE7A018949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1" authorId="0" shapeId="0" xr:uid="{61571BA4-2269-4FAF-B4CE-6DC110365947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6" authorId="0" shapeId="0" xr:uid="{80FAAC50-CB5D-4104-9E0B-EA7CB0D6231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7" authorId="0" shapeId="0" xr:uid="{0A172998-FD8B-4A6E-B5DB-10F7188C075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8" authorId="0" shapeId="0" xr:uid="{3FAD3959-72DB-44C1-B08C-A5CB0F01BB9A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9" authorId="0" shapeId="0" xr:uid="{C54EC706-A89D-4DD3-BA89-55268AC2C84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20" authorId="0" shapeId="0" xr:uid="{78FC45C1-949F-423F-89A3-D93B833BE806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21" authorId="0" shapeId="0" xr:uid="{12905583-40F3-4DB7-B226-58567A548A5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22" authorId="0" shapeId="0" xr:uid="{9B9D81EC-F3B6-4887-9A08-C8401A43EFE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23" authorId="0" shapeId="0" xr:uid="{CBAB7FF4-180E-4185-A0D7-B08770E840C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24" authorId="0" shapeId="0" xr:uid="{623421AD-20C0-4365-9EA7-91F8D403A699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25" authorId="0" shapeId="0" xr:uid="{71116D97-4DDD-4C0C-B668-68C6B567A2B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26" authorId="0" shapeId="0" xr:uid="{33E233E0-B44E-414B-BF4C-EC8B278B5C6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27" authorId="0" shapeId="0" xr:uid="{5C6641EC-9824-45E7-933C-BFE30F86E99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28" authorId="0" shapeId="0" xr:uid="{3A30FFE5-34A4-4FBE-BB3F-A28A4F19D791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29" authorId="0" shapeId="0" xr:uid="{65F74ABE-0A4B-43F7-AB87-F52239713DD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30" authorId="0" shapeId="0" xr:uid="{4910C3F6-DB59-4DED-A358-1B15C1C83A77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31" authorId="0" shapeId="0" xr:uid="{6B172620-D029-4B8A-A02D-311CEA10EBFE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32" authorId="0" shapeId="0" xr:uid="{C74D11D1-06E0-4AE5-B564-7A4CAAF61747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33" authorId="0" shapeId="0" xr:uid="{C4EB51BF-EC6C-4B2C-9E41-552152841D73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34" authorId="0" shapeId="0" xr:uid="{6574D2BF-0770-478E-9314-D4B9D4380F6D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35" authorId="0" shapeId="0" xr:uid="{3E4EC73C-464D-4FCA-9956-401491F35E6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36" authorId="0" shapeId="0" xr:uid="{2CE5F0F0-E753-4783-AA3A-B1C1FC18187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37" authorId="0" shapeId="0" xr:uid="{368448BA-2630-4FC7-A910-338137EA6400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38" authorId="0" shapeId="0" xr:uid="{0F2C7CE7-FD82-4A83-A06B-51D6E4BCE55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39" authorId="0" shapeId="0" xr:uid="{63A7A069-2068-46F1-A35D-AABD1CB0F14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40" authorId="0" shapeId="0" xr:uid="{810016C5-916E-4D8A-9818-9F2712E1B3B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41" authorId="0" shapeId="0" xr:uid="{C55D0A80-5132-4929-AF8A-DB59B24FDB67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42" authorId="0" shapeId="0" xr:uid="{DBA7BFFD-F87A-4250-9666-65FA41C216FE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43" authorId="0" shapeId="0" xr:uid="{47EFBA5F-25E1-4966-8A34-31E3DC10B789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44" authorId="0" shapeId="0" xr:uid="{74514E4C-B00C-4A8C-955B-94EE383D20B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45" authorId="0" shapeId="0" xr:uid="{FB8A85B8-EEF2-4CE4-9477-1FD63609774A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46" authorId="0" shapeId="0" xr:uid="{953FFB8D-8D8B-41CB-A8A7-97E4BB3B302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47" authorId="0" shapeId="0" xr:uid="{F826FC99-6503-4605-A980-E85E8423643B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48" authorId="0" shapeId="0" xr:uid="{5AD43705-5116-4419-88E2-861773CA9930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49" authorId="0" shapeId="0" xr:uid="{21F9BE78-8469-478C-9F0A-9AD0A7C8D55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50" authorId="0" shapeId="0" xr:uid="{2F36F25C-FD6B-4629-B9A6-D32BF7167D7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51" authorId="0" shapeId="0" xr:uid="{317E77E6-C7CD-4A4B-959E-7FD3FEF1D1D4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56" authorId="0" shapeId="0" xr:uid="{984DE23B-4698-442F-9F2C-B77E5CA0D8F2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57" authorId="0" shapeId="0" xr:uid="{29AF78D8-82EF-466E-BE56-44B01CF26F67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58" authorId="0" shapeId="0" xr:uid="{F07C2ADD-821E-462E-A6F9-F95BE104290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59" authorId="0" shapeId="0" xr:uid="{C382F965-79BB-44CA-9A12-772076D1399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60" authorId="0" shapeId="0" xr:uid="{C9650534-4E19-42A8-BD1A-FDE8435787B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61" authorId="0" shapeId="0" xr:uid="{A173E052-EF3E-4BE5-862C-C44F8449555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62" authorId="0" shapeId="0" xr:uid="{453AE1B6-93B1-49EC-A0F8-F467A5DF0836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63" authorId="0" shapeId="0" xr:uid="{8E188901-1780-4E0B-A113-D0778A5745F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64" authorId="0" shapeId="0" xr:uid="{34A0A766-175F-4AAB-8B61-9822C2852DA9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65" authorId="0" shapeId="0" xr:uid="{949174DE-7435-46FB-AC47-56243007F53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66" authorId="0" shapeId="0" xr:uid="{8EB897B9-FF6B-4714-93B2-7A83636199B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67" authorId="0" shapeId="0" xr:uid="{430128F8-A308-4F42-80FD-94AECF0B6F1D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68" authorId="0" shapeId="0" xr:uid="{829EBDFF-DE83-4E29-91E4-8E4550BD3E58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69" authorId="0" shapeId="0" xr:uid="{0884F2EF-6CFA-4129-A5EE-BE609942A8A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70" authorId="0" shapeId="0" xr:uid="{588CB28B-3964-4488-B8C7-99D5C0244479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71" authorId="0" shapeId="0" xr:uid="{BB237C60-503C-4366-AA95-33DB6C861E4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72" authorId="0" shapeId="0" xr:uid="{03CCE4AD-1799-4112-8F77-3B6B6452CDB6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73" authorId="0" shapeId="0" xr:uid="{B29FDAF2-F55D-44B0-92D9-D29C95CF139E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74" authorId="0" shapeId="0" xr:uid="{A25F2A4E-CF8F-4158-A04B-595A1E8695B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75" authorId="0" shapeId="0" xr:uid="{35E25D4D-1669-46D2-A247-A1D266A8F43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76" authorId="0" shapeId="0" xr:uid="{A8A42876-CE63-470A-9B4C-9817A54EB281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77" authorId="0" shapeId="0" xr:uid="{E2C0C08E-8C37-4776-B6FA-1EAE19838B6E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78" authorId="0" shapeId="0" xr:uid="{0DD63033-772C-431D-9054-C3475DD2EF5A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79" authorId="0" shapeId="0" xr:uid="{FA830865-DE14-4D03-BB67-238F53FFCD5F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80" authorId="0" shapeId="0" xr:uid="{810D588A-9DE1-4DC2-A4E1-5787629BC47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81" authorId="0" shapeId="0" xr:uid="{298A4277-8A7A-4239-BA52-23DBE9BDF86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82" authorId="0" shapeId="0" xr:uid="{55A4BA9B-77ED-488B-84DA-313C88284AA0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83" authorId="0" shapeId="0" xr:uid="{A6327068-C5B3-49B4-BD80-1AA95B45538A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84" authorId="0" shapeId="0" xr:uid="{19F8460D-5E85-4A16-80A5-95CAB854C04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85" authorId="0" shapeId="0" xr:uid="{EE95E18C-D87B-4142-89CC-D9FA54491B6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86" authorId="0" shapeId="0" xr:uid="{173B455B-3A65-4393-B847-C229FD087F6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87" authorId="0" shapeId="0" xr:uid="{2FE63187-385A-4C7C-A349-4FB9E81F13D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88" authorId="0" shapeId="0" xr:uid="{1938A450-5CE1-4A6B-89E6-16850284EE5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89" authorId="0" shapeId="0" xr:uid="{F68EC432-08B6-4443-9B45-A2A6B1E764E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90" authorId="0" shapeId="0" xr:uid="{3FBC163A-F5D9-4BA9-86B4-FFFAD5A7E41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91" authorId="0" shapeId="0" xr:uid="{612C2401-DE92-47C1-80FA-D6F6558A8FC9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92" authorId="0" shapeId="0" xr:uid="{E16B94A7-D15B-4252-8BCB-CA3DFB059C4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93" authorId="0" shapeId="0" xr:uid="{BE8DB160-48FA-4BF0-8918-F05FBA286C8B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94" authorId="0" shapeId="0" xr:uid="{A76F4950-D370-41C9-9D03-8EC76C74C9C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95" authorId="0" shapeId="0" xr:uid="{62EF6FDF-B1FB-4ABD-A4CF-2810BFC54861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96" authorId="0" shapeId="0" xr:uid="{AC04513A-933F-4A69-9EEA-32C7B039AFE2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97" authorId="0" shapeId="0" xr:uid="{63FC41A1-CD88-415E-A92D-2BE6AA246D7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98" authorId="0" shapeId="0" xr:uid="{568C7DF4-C7E5-4185-B5C6-ADC9F9097AE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99" authorId="0" shapeId="0" xr:uid="{3001D157-CC7F-46CC-BA1C-5000FCBB02E7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00" authorId="0" shapeId="0" xr:uid="{5BF4A740-FF98-43C8-92C1-82BF73227CC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01" authorId="0" shapeId="0" xr:uid="{262B29C5-422C-479E-A535-791B0645C1D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02" authorId="0" shapeId="0" xr:uid="{151CB7C3-AC4D-4905-A8D9-921C1D7DE969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03" authorId="0" shapeId="0" xr:uid="{62C41312-97C0-4B1F-BF92-2326F9BCE650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04" authorId="0" shapeId="0" xr:uid="{74FC3FFF-3D95-4650-BB01-EB7A66D4A9B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05" authorId="0" shapeId="0" xr:uid="{5781090D-6E7D-41AC-B024-C2FFC75946C1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06" authorId="0" shapeId="0" xr:uid="{6851BAFE-55FF-432F-B30E-1A9549F3646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07" authorId="0" shapeId="0" xr:uid="{4F2832FD-85E0-4C5B-8DFB-E8D1CE08FC6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08" authorId="0" shapeId="0" xr:uid="{BB6F587F-9BAC-4C80-9C6B-C99E3C66931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09" authorId="0" shapeId="0" xr:uid="{F153CBD3-63F5-49D0-8B6A-F152A57225B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10" authorId="0" shapeId="0" xr:uid="{5F29BEC0-8552-4589-9268-25E8060100B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11" authorId="0" shapeId="0" xr:uid="{2A1EDF2C-A9AE-408C-9739-8729E1E4F2A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12" authorId="0" shapeId="0" xr:uid="{C28B0868-78AF-4F68-8F1F-B93B46C1BE5B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13" authorId="0" shapeId="0" xr:uid="{FDC37205-F683-4434-A54B-01FD6639CAF7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14" authorId="0" shapeId="0" xr:uid="{3A28D3A3-DC92-4E9C-B464-79857F6A85C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15" authorId="0" shapeId="0" xr:uid="{C7FFA612-84BA-40F8-86BB-CCFBF42C867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16" authorId="0" shapeId="0" xr:uid="{3DE89833-FC77-4F95-8F2F-344713F9B98F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17" authorId="0" shapeId="0" xr:uid="{ED7DE04D-8F45-47FA-B0C6-CF3359F8AE6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18" authorId="0" shapeId="0" xr:uid="{677724C3-E191-4113-8426-9BBC97ACCA0A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19" authorId="0" shapeId="0" xr:uid="{A60CF3E8-D5D6-4DA7-BFCE-EBBA1E33AACF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20" authorId="0" shapeId="0" xr:uid="{F1CFD8E6-EA69-4F17-A274-251B122C626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21" authorId="0" shapeId="0" xr:uid="{246B3E7C-BA24-4108-B4C4-61CA0DA3D363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22" authorId="0" shapeId="0" xr:uid="{058A6130-BBCD-4E66-83CA-D88F7B03804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23" authorId="0" shapeId="0" xr:uid="{7922A23D-DDF6-4B26-8A11-E842032608B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24" authorId="0" shapeId="0" xr:uid="{98EB7C80-9FE6-4419-BA95-0D1228C0C96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25" authorId="0" shapeId="0" xr:uid="{5F54BB34-7507-4471-9BB4-995F1555DA61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26" authorId="0" shapeId="0" xr:uid="{A48A382E-9870-47F9-9828-94ADAC6EC03E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27" authorId="0" shapeId="0" xr:uid="{E8739A4A-8B85-468C-B494-5C5DDC72240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28" authorId="0" shapeId="0" xr:uid="{24281BCA-030D-4898-B0EC-10AADF2A7DB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29" authorId="0" shapeId="0" xr:uid="{361829D9-629C-4DB7-AA9E-4BB63A4254EC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30" authorId="0" shapeId="0" xr:uid="{ED03FA98-FD91-4F51-9562-ACBD5B4894BF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31" authorId="0" shapeId="0" xr:uid="{1B45F6C0-1CE1-4243-9F86-CE682CCA5B96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32" authorId="0" shapeId="0" xr:uid="{687B0CA2-543B-43E7-9384-C015E6661BF8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33" authorId="0" shapeId="0" xr:uid="{F4F7AD8B-1B96-46BB-81C6-C8809B73EBEB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34" authorId="0" shapeId="0" xr:uid="{FD4BF916-2BCA-4022-83CA-73529D48B83B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35" authorId="0" shapeId="0" xr:uid="{B7269473-3BC1-4D34-8712-415A4A354B22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36" authorId="0" shapeId="0" xr:uid="{1339B6D2-38E9-44E1-ABBC-5EB18ADBB28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37" authorId="0" shapeId="0" xr:uid="{702D7EED-9AA4-4843-AE4D-81A76F6EC613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38" authorId="0" shapeId="0" xr:uid="{A9E9B817-1543-4542-84E8-C479148E672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39" authorId="0" shapeId="0" xr:uid="{7C070257-D924-4C16-8512-C1BFADDC92CE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40" authorId="0" shapeId="0" xr:uid="{47880E26-49E9-4002-A8C0-1EB3D262D5B5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41" authorId="0" shapeId="0" xr:uid="{409EFE5C-57E1-4F69-8B20-47D8159FC91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42" authorId="0" shapeId="0" xr:uid="{40010F30-FF7C-41C2-A17B-0D76CE8A43AC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43" authorId="0" shapeId="0" xr:uid="{02339448-63C9-4E33-9B06-787518DD26B6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44" authorId="0" shapeId="0" xr:uid="{851B6CD7-B63A-49A6-84DC-4F979A8D98EB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45" authorId="0" shapeId="0" xr:uid="{E2CB6BF6-3B2D-45D3-BD3B-946E8DD1485D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46" authorId="0" shapeId="0" xr:uid="{92862E0F-9774-4EC8-8F11-F775C6F4E61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47" authorId="0" shapeId="0" xr:uid="{C0A7C04B-7D2A-4DD3-A21E-3BCF78433DD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48" authorId="0" shapeId="0" xr:uid="{3891A479-B78D-4A3B-8159-78186310E36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49" authorId="0" shapeId="0" xr:uid="{529006AA-4561-4E84-A3D8-E15599F4854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50" authorId="0" shapeId="0" xr:uid="{04DE4081-76BF-4282-BD0C-71BAF2B3CAC1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51" authorId="0" shapeId="0" xr:uid="{FA955044-F2A6-440C-BFC0-2C2A51E3FFAF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52" authorId="0" shapeId="0" xr:uid="{67645FE1-E441-4A41-A714-82001C09AB3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53" authorId="0" shapeId="0" xr:uid="{83C5C798-0A41-4EA6-9BBF-74617DD25299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54" authorId="0" shapeId="0" xr:uid="{6FEA444E-BF2A-48C2-9DEE-AE6BDDE3F3E0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55" authorId="0" shapeId="0" xr:uid="{2CEC6064-A420-4073-92FC-AB1D725B75E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56" authorId="0" shapeId="0" xr:uid="{760AE21E-BABB-461C-8EF8-C53697F0E66F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57" authorId="0" shapeId="0" xr:uid="{92975AA8-AE73-4166-A8FF-E979019D5FF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58" authorId="0" shapeId="0" xr:uid="{E33EFA90-3A20-47A7-A0F4-CE706A49FCD3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59" authorId="0" shapeId="0" xr:uid="{F70E7F48-C9FE-4875-9634-2EA9C5E7B42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60" authorId="0" shapeId="0" xr:uid="{64C56B84-69B1-4576-A6FB-7A47C0BE0F8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61" authorId="0" shapeId="0" xr:uid="{A51F137B-60B9-4796-8E70-60E7CF770118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62" authorId="0" shapeId="0" xr:uid="{E4022DF8-8DBD-4DD2-8E8C-0AD4EEC70CE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63" authorId="0" shapeId="0" xr:uid="{8D988DF9-098D-4E00-A477-2C29894AA8B3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64" authorId="0" shapeId="0" xr:uid="{71F233F5-E18C-4B58-8A3B-EE6F6844EF8C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65" authorId="0" shapeId="0" xr:uid="{92DBDD71-A181-49A1-9CA5-F77D8B616CF1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66" authorId="0" shapeId="0" xr:uid="{F5E68F0E-66E1-44F8-A437-52BD9225ED7D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67" authorId="0" shapeId="0" xr:uid="{62EA5BBC-B209-4A31-91BC-8C7244F2A56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68" authorId="0" shapeId="0" xr:uid="{8BC72EB6-2878-4AD0-9D19-29725B0311CA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69" authorId="0" shapeId="0" xr:uid="{DDD53BA5-98AC-4F5A-9B88-2FA73930E26B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70" authorId="0" shapeId="0" xr:uid="{AD1CE0BD-D075-4A6E-9A45-48B76693B3E3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71" authorId="0" shapeId="0" xr:uid="{8C698341-FB92-4DDB-BBE6-1710330DC91B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72" authorId="0" shapeId="0" xr:uid="{9C817DB1-FDA3-4A39-AD4E-C1C4C52B1448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73" authorId="0" shapeId="0" xr:uid="{A580460C-43C3-49BD-BBBB-CAF144874A56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74" authorId="0" shapeId="0" xr:uid="{06624BAD-A2D9-4DEF-A323-1CE1895743B5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75" authorId="0" shapeId="0" xr:uid="{67A01D49-651F-41F2-87DB-ADF9A094C7BB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76" authorId="0" shapeId="0" xr:uid="{2E6D4C77-4E3C-4AD2-96E7-2F153EFBDDD4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77" authorId="0" shapeId="0" xr:uid="{DD43EEA7-6CA3-449C-8BF4-6E98CFC5222A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78" authorId="0" shapeId="0" xr:uid="{2DC1ABA6-DCF0-4B42-A07A-1AE13F8ED7B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79" authorId="0" shapeId="0" xr:uid="{9EE63C04-443A-4F54-AF26-96D9553D1131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80" authorId="0" shapeId="0" xr:uid="{002CEC1A-DE68-4F0D-9A12-CA4B27B0165D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81" authorId="0" shapeId="0" xr:uid="{A2BD9175-9EC2-4E6C-BF11-1C86B42FA5C2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82" authorId="0" shapeId="0" xr:uid="{948AE060-BCD1-4429-936F-F3426E135793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83" authorId="0" shapeId="0" xr:uid="{7FBC3522-2E49-46D5-B865-408DCCC428F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84" authorId="0" shapeId="0" xr:uid="{DC9C5C1B-FCFC-456D-B2D5-83A1520764FE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85" authorId="0" shapeId="0" xr:uid="{7CB69E68-B3CB-47C8-96AC-4A2C0D9C0825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86" authorId="0" shapeId="0" xr:uid="{0A718111-A173-48FE-8C09-1D60DD980218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87" authorId="0" shapeId="0" xr:uid="{5A212C89-F3B5-44CA-8D53-D8483B0CC135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88" authorId="0" shapeId="0" xr:uid="{E06C5BB6-4D80-4E8A-B268-412678496EEC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89" authorId="0" shapeId="0" xr:uid="{9E14A22A-4237-440B-9B75-1EB0ABE133CC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90" authorId="0" shapeId="0" xr:uid="{7C290188-11EA-42D0-9383-5E46DE0F7EB4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91" authorId="0" shapeId="0" xr:uid="{E9A5B308-7598-4980-BAF4-53E7D2696D67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  <comment ref="E192" authorId="0" shapeId="0" xr:uid="{6362CFA2-0B0A-4E42-83BC-AA6D318D68A7}">
      <text>
        <r>
          <rPr>
            <sz val="10"/>
            <color indexed="81"/>
            <rFont val="Calibri"/>
            <family val="2"/>
          </rPr>
          <t>Fig : Straight Ballet Leg_x000D_
 GD : 1.6</t>
        </r>
      </text>
    </comment>
    <comment ref="E193" authorId="0" shapeId="0" xr:uid="{EA2EBE91-E09F-4F79-9E46-415B9CD6984F}">
      <text>
        <r>
          <rPr>
            <sz val="10"/>
            <color indexed="81"/>
            <rFont val="Calibri"/>
            <family val="2"/>
          </rPr>
          <t>Fig : Barracuda_x000D_
 GD : 1.9</t>
        </r>
      </text>
    </comment>
    <comment ref="E194" authorId="0" shapeId="0" xr:uid="{74906D68-4AEF-44FC-8F63-9E464B6D7DE2}">
      <text>
        <r>
          <rPr>
            <sz val="10"/>
            <color indexed="81"/>
            <rFont val="Calibri"/>
            <family val="2"/>
          </rPr>
          <t>Fig : Walkover Back_x000D_
 GD : 1.9</t>
        </r>
      </text>
    </comment>
    <comment ref="E195" authorId="0" shapeId="0" xr:uid="{E92F55B3-3A93-4CFC-91D2-6B705BE43E68}">
      <text>
        <r>
          <rPr>
            <sz val="10"/>
            <color indexed="81"/>
            <rFont val="Calibri"/>
            <family val="2"/>
          </rPr>
          <t>Fig : Ballerina_x000D_
 GD : 1.8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<sst xmlns="http://schemas.openxmlformats.org/spreadsheetml/2006/main" count="571" uniqueCount="176">
  <si>
    <t>CLUB</t>
  </si>
  <si>
    <t>Máxima</t>
  </si>
  <si>
    <t>Minima</t>
  </si>
  <si>
    <t>SUMA PARCIAL</t>
  </si>
  <si>
    <t>TOTAL</t>
  </si>
  <si>
    <t>Orden</t>
  </si>
  <si>
    <t>Deportista</t>
  </si>
  <si>
    <t>Club</t>
  </si>
  <si>
    <t>Penaliz</t>
  </si>
  <si>
    <t>GD</t>
  </si>
  <si>
    <t>Total GD</t>
  </si>
  <si>
    <t>Nombre figura</t>
  </si>
  <si>
    <t>Barracuda</t>
  </si>
  <si>
    <t>Clubes</t>
  </si>
  <si>
    <t>DEPORTISTA</t>
  </si>
  <si>
    <t>Liga de Natación de Antioquia</t>
  </si>
  <si>
    <t>Estrellas de Antioquia</t>
  </si>
  <si>
    <t>SincroAntioquia</t>
  </si>
  <si>
    <t>Walkover Back</t>
  </si>
  <si>
    <t>Swan</t>
  </si>
  <si>
    <t>Ballerina</t>
  </si>
  <si>
    <t>SwordFish</t>
  </si>
  <si>
    <t>Water Drop</t>
  </si>
  <si>
    <t>Straight Ballet Leg</t>
  </si>
  <si>
    <t>Juez 1</t>
  </si>
  <si>
    <t>Juez 2</t>
  </si>
  <si>
    <t>Juez 3</t>
  </si>
  <si>
    <t>Juez 4</t>
  </si>
  <si>
    <t>Juez 5</t>
  </si>
  <si>
    <t>Juez 6</t>
  </si>
  <si>
    <t>Juez 7</t>
  </si>
  <si>
    <t>Entrenadora</t>
  </si>
  <si>
    <t>Fig.</t>
  </si>
  <si>
    <t>Jueces en panel</t>
  </si>
  <si>
    <t>Jueces calculados</t>
  </si>
  <si>
    <t>Puntajes y posiciones finales</t>
  </si>
  <si>
    <t>Orden Salida</t>
  </si>
  <si>
    <t>Posición Final</t>
  </si>
  <si>
    <t>Puntaje Final</t>
  </si>
  <si>
    <t>O.A.</t>
  </si>
  <si>
    <t>Sel. Antioquia</t>
  </si>
  <si>
    <t>AquaSwim</t>
  </si>
  <si>
    <t>N.A.</t>
  </si>
  <si>
    <t>Kip</t>
  </si>
  <si>
    <t>Cantidad de jueces x panel</t>
  </si>
  <si>
    <t>Panel 2</t>
  </si>
  <si>
    <t>Compite</t>
  </si>
  <si>
    <t>Jueces</t>
  </si>
  <si>
    <t>Claudia Estrada</t>
  </si>
  <si>
    <t>Gabriela Salcedo</t>
  </si>
  <si>
    <t>Lia Manotas</t>
  </si>
  <si>
    <t>Oscar Sierra</t>
  </si>
  <si>
    <t>Encabezado de la planilla y Puntajes</t>
  </si>
  <si>
    <t>Panel único</t>
  </si>
  <si>
    <t>Calculado</t>
  </si>
  <si>
    <t>Ana M. Lopera</t>
  </si>
  <si>
    <t>Ana Sofia Molina</t>
  </si>
  <si>
    <t>Carolina Acevedo</t>
  </si>
  <si>
    <t>Laura Velez Osorio</t>
  </si>
  <si>
    <t>Lina M. Navarro</t>
  </si>
  <si>
    <t>Lina M. Zapata</t>
  </si>
  <si>
    <t>Maria C. Palacios</t>
  </si>
  <si>
    <t>Maria F. Vasquez</t>
  </si>
  <si>
    <t>Mery Gómez</t>
  </si>
  <si>
    <t>Sarita Percy V.</t>
  </si>
  <si>
    <t>Antioquia Artística</t>
  </si>
  <si>
    <t>Juez arbitro :</t>
  </si>
  <si>
    <t>Mesa :</t>
  </si>
  <si>
    <t>1</t>
  </si>
  <si>
    <t>2</t>
  </si>
  <si>
    <t>3</t>
  </si>
  <si>
    <t>4</t>
  </si>
  <si>
    <t>5</t>
  </si>
  <si>
    <t>6</t>
  </si>
  <si>
    <t>7</t>
  </si>
  <si>
    <t>Prom. X GD</t>
  </si>
  <si>
    <t>Prom.</t>
  </si>
  <si>
    <t>ORDEN</t>
  </si>
  <si>
    <t>N.A</t>
  </si>
  <si>
    <t>Op 1 G1</t>
  </si>
  <si>
    <t>Op 2 G1</t>
  </si>
  <si>
    <t>Tipo</t>
  </si>
  <si>
    <t>Formato para Registro Impar</t>
  </si>
  <si>
    <t>Formato para Registro NoCompite</t>
  </si>
  <si>
    <t>Asignado</t>
  </si>
  <si>
    <t>Nombre</t>
  </si>
  <si>
    <t>Disponibles</t>
  </si>
  <si>
    <t>Op 1 G2</t>
  </si>
  <si>
    <t>Op 1 G3</t>
  </si>
  <si>
    <t>Op 2 G3</t>
  </si>
  <si>
    <t>Op 2 G2</t>
  </si>
  <si>
    <t>Cod</t>
  </si>
  <si>
    <t>Grupo</t>
  </si>
  <si>
    <t>Cód</t>
  </si>
  <si>
    <t>Descripcion</t>
  </si>
  <si>
    <t>Obl. 2</t>
  </si>
  <si>
    <t>Obl. 1</t>
  </si>
  <si>
    <t>Grupo opcional escogido</t>
  </si>
  <si>
    <t>Formato para registro de una deportista</t>
  </si>
  <si>
    <t>Categoria</t>
  </si>
  <si>
    <t>Infantil</t>
  </si>
  <si>
    <t xml:space="preserve">Categoria : </t>
  </si>
  <si>
    <t>Juvenil</t>
  </si>
  <si>
    <t>Jupiter</t>
  </si>
  <si>
    <t>Albatross Half Twist</t>
  </si>
  <si>
    <t>240a</t>
  </si>
  <si>
    <t>Porpoise Continuous Spin 720°</t>
  </si>
  <si>
    <t>355g</t>
  </si>
  <si>
    <t>Oceanea</t>
  </si>
  <si>
    <t>Swordtail</t>
  </si>
  <si>
    <t>Seagull</t>
  </si>
  <si>
    <t>Ariana</t>
  </si>
  <si>
    <t>Rio</t>
  </si>
  <si>
    <t>-</t>
  </si>
  <si>
    <t>AQUASWIM</t>
  </si>
  <si>
    <t>Lina Zapata</t>
  </si>
  <si>
    <t>Angela Gómez</t>
  </si>
  <si>
    <t>Valentina Barajas</t>
  </si>
  <si>
    <t>Op. 1</t>
  </si>
  <si>
    <t>Op. 2</t>
  </si>
  <si>
    <t>Cód Fig.</t>
  </si>
  <si>
    <t>ESTRELLAS DE ANTIOQUIA</t>
  </si>
  <si>
    <t>SINCROANTIOQUIA NADO</t>
  </si>
  <si>
    <t>SELECCIÃ“N ANTIOQUIA</t>
  </si>
  <si>
    <t>TRANSFERENCIA</t>
  </si>
  <si>
    <t>maria fernanda hincapie arcila</t>
  </si>
  <si>
    <t>sara isabela doria rodriguez</t>
  </si>
  <si>
    <t>maria isabel achuri monsalve</t>
  </si>
  <si>
    <t>maria antonia montoya lozada</t>
  </si>
  <si>
    <t>diana sofia rico martinez</t>
  </si>
  <si>
    <t>luciana isabel castaÃ±o gÃ³mez</t>
  </si>
  <si>
    <t>alma abril revelo lozano</t>
  </si>
  <si>
    <t>maria isabel gutierrez orozco</t>
  </si>
  <si>
    <t>Festival infantil departamental Fase I</t>
  </si>
  <si>
    <t>Abril 23 de 2022</t>
  </si>
  <si>
    <t>maria antonia samaca carvajal</t>
  </si>
  <si>
    <t>ana sofia ramirez pereira</t>
  </si>
  <si>
    <t>mariana posada martinez</t>
  </si>
  <si>
    <t>luciana ciro aguilar</t>
  </si>
  <si>
    <t>isabella usquiano guarin</t>
  </si>
  <si>
    <t>valentina forero bustamante</t>
  </si>
  <si>
    <t>maria paz acosta palacio</t>
  </si>
  <si>
    <t>manuela garcÃa zapata</t>
  </si>
  <si>
    <t>melisa salazar ramirez</t>
  </si>
  <si>
    <t>violeta franco pineda</t>
  </si>
  <si>
    <t>andres trujillo ramos</t>
  </si>
  <si>
    <t>wayra hoyos rengifo</t>
  </si>
  <si>
    <t>violeta betancur caÃ±on</t>
  </si>
  <si>
    <t>ana maria osorio grisales</t>
  </si>
  <si>
    <t>luciana gaviria agudelo</t>
  </si>
  <si>
    <t>valeria muÃ±oz ruiz</t>
  </si>
  <si>
    <t>sara arenas alvarez</t>
  </si>
  <si>
    <t>susana salazar martinez</t>
  </si>
  <si>
    <t>luciana fonseca machado</t>
  </si>
  <si>
    <t>valery roldan alzate</t>
  </si>
  <si>
    <t>isabella rua zamarra</t>
  </si>
  <si>
    <t>susana ruiz villa</t>
  </si>
  <si>
    <t>sofia lugo morales</t>
  </si>
  <si>
    <t>sara cotes suaza</t>
  </si>
  <si>
    <t>valentina leyton guzman</t>
  </si>
  <si>
    <t>valeria mejÃa dÃaz</t>
  </si>
  <si>
    <t>sofÃa gÃ³mez bolivar</t>
  </si>
  <si>
    <t>emily mejia marin</t>
  </si>
  <si>
    <t>salome pardo quintero</t>
  </si>
  <si>
    <t>violeta stuart alzate</t>
  </si>
  <si>
    <t>valeria vargas jiemenez</t>
  </si>
  <si>
    <t>ana maria londoÃ±o roldan</t>
  </si>
  <si>
    <t>sara montoya rios</t>
  </si>
  <si>
    <t>juanita gonzales nevott</t>
  </si>
  <si>
    <t>valentina pulgarin pineda</t>
  </si>
  <si>
    <t>luciana aristizabal vivares</t>
  </si>
  <si>
    <t>ana sofia cifuentes restrepo</t>
  </si>
  <si>
    <t>maria angel sepÃºlveda barrien</t>
  </si>
  <si>
    <t>luciana parra goez</t>
  </si>
  <si>
    <t xml:space="preserve">Hugo Percy - 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</si>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</sst>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00"/>
    <numFmt numFmtId="167" formatCode="0.0000"/>
  </numFmts>
  <fonts count="33" x14ac:knownFonts="1"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trike/>
      <sz val="10"/>
      <name val="Calibri"/>
      <family val="2"/>
      <scheme val="minor"/>
    </font>
    <font>
      <sz val="10"/>
      <color indexed="81"/>
      <name val="Calibri"/>
      <family val="2"/>
    </font>
    <font>
      <i/>
      <strike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ill="0" applyBorder="0" applyAlignment="0" applyProtection="0"/>
    <xf numFmtId="0" fontId="12" fillId="0" borderId="0"/>
    <xf numFmtId="0" fontId="9" fillId="0" borderId="0"/>
    <xf numFmtId="0" fontId="27" fillId="5" borderId="0" applyNumberFormat="0" applyBorder="0" applyAlignment="0" applyProtection="0"/>
  </cellStyleXfs>
  <cellXfs count="243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1" applyFont="1" applyFill="1" applyBorder="1"/>
    <xf numFmtId="0" fontId="3" fillId="0" borderId="0" xfId="0" applyFont="1" applyFill="1" applyBorder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NumberFormat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5" fillId="0" borderId="0" xfId="0" applyFont="1" applyAlignment="1">
      <alignment vertical="center"/>
    </xf>
    <xf numFmtId="0" fontId="0" fillId="0" borderId="0" xfId="0" applyFont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2" borderId="6" xfId="0" applyNumberFormat="1" applyFont="1" applyFill="1" applyBorder="1" applyAlignment="1">
      <alignment horizontal="center" vertical="center"/>
    </xf>
    <xf numFmtId="0" fontId="18" fillId="0" borderId="0" xfId="0" applyFont="1"/>
    <xf numFmtId="0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166" fontId="18" fillId="0" borderId="0" xfId="0" applyNumberFormat="1" applyFont="1" applyFill="1"/>
    <xf numFmtId="1" fontId="18" fillId="0" borderId="0" xfId="0" applyNumberFormat="1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5" fillId="0" borderId="0" xfId="0" applyFont="1" applyFill="1" applyBorder="1"/>
    <xf numFmtId="0" fontId="15" fillId="0" borderId="0" xfId="0" applyFont="1"/>
    <xf numFmtId="0" fontId="0" fillId="0" borderId="0" xfId="0" applyFont="1" applyFill="1" applyBorder="1"/>
    <xf numFmtId="0" fontId="18" fillId="0" borderId="0" xfId="0" applyFont="1" applyFill="1" applyBorder="1"/>
    <xf numFmtId="165" fontId="16" fillId="0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/>
    </xf>
    <xf numFmtId="0" fontId="18" fillId="2" borderId="0" xfId="0" applyFont="1" applyFill="1" applyBorder="1"/>
    <xf numFmtId="0" fontId="17" fillId="0" borderId="10" xfId="0" applyFont="1" applyFill="1" applyBorder="1" applyAlignment="1">
      <alignment horizontal="left" vertical="center"/>
    </xf>
    <xf numFmtId="0" fontId="17" fillId="2" borderId="12" xfId="0" applyFont="1" applyFill="1" applyBorder="1" applyAlignment="1">
      <alignment horizontal="left" vertical="center"/>
    </xf>
    <xf numFmtId="0" fontId="17" fillId="2" borderId="1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24" fillId="0" borderId="10" xfId="0" applyFont="1" applyFill="1" applyBorder="1"/>
    <xf numFmtId="0" fontId="24" fillId="2" borderId="10" xfId="0" applyFont="1" applyFill="1" applyBorder="1"/>
    <xf numFmtId="0" fontId="18" fillId="2" borderId="13" xfId="0" applyFont="1" applyFill="1" applyBorder="1" applyAlignment="1">
      <alignment horizontal="left"/>
    </xf>
    <xf numFmtId="0" fontId="18" fillId="2" borderId="13" xfId="0" applyFont="1" applyFill="1" applyBorder="1"/>
    <xf numFmtId="0" fontId="18" fillId="2" borderId="13" xfId="0" applyFont="1" applyFill="1" applyBorder="1" applyAlignment="1">
      <alignment horizontal="center" vertical="center"/>
    </xf>
    <xf numFmtId="165" fontId="16" fillId="2" borderId="13" xfId="0" applyNumberFormat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right"/>
    </xf>
    <xf numFmtId="0" fontId="10" fillId="2" borderId="8" xfId="1" applyFont="1" applyFill="1" applyBorder="1" applyAlignment="1"/>
    <xf numFmtId="0" fontId="10" fillId="2" borderId="9" xfId="1" applyFont="1" applyFill="1" applyBorder="1" applyAlignment="1"/>
    <xf numFmtId="0" fontId="3" fillId="2" borderId="12" xfId="0" applyFont="1" applyFill="1" applyBorder="1" applyAlignment="1">
      <alignment horizontal="right"/>
    </xf>
    <xf numFmtId="0" fontId="10" fillId="2" borderId="13" xfId="1" applyFont="1" applyFill="1" applyBorder="1" applyAlignment="1"/>
    <xf numFmtId="0" fontId="10" fillId="2" borderId="14" xfId="1" applyFont="1" applyFill="1" applyBorder="1" applyAlignment="1"/>
    <xf numFmtId="0" fontId="10" fillId="0" borderId="0" xfId="1" applyFont="1" applyFill="1" applyBorder="1" applyAlignment="1"/>
    <xf numFmtId="0" fontId="17" fillId="3" borderId="8" xfId="0" applyFont="1" applyFill="1" applyBorder="1" applyAlignment="1">
      <alignment horizontal="center" vertical="center"/>
    </xf>
    <xf numFmtId="0" fontId="8" fillId="0" borderId="10" xfId="1" applyFont="1" applyFill="1" applyBorder="1" applyAlignment="1"/>
    <xf numFmtId="0" fontId="8" fillId="2" borderId="10" xfId="1" applyFont="1" applyFill="1" applyBorder="1" applyAlignment="1"/>
    <xf numFmtId="0" fontId="8" fillId="0" borderId="12" xfId="1" applyFont="1" applyFill="1" applyBorder="1" applyAlignment="1"/>
    <xf numFmtId="0" fontId="8" fillId="0" borderId="18" xfId="1" applyFont="1" applyFill="1" applyBorder="1" applyAlignment="1">
      <alignment horizontal="left"/>
    </xf>
    <xf numFmtId="0" fontId="8" fillId="2" borderId="18" xfId="1" applyFont="1" applyFill="1" applyBorder="1" applyAlignment="1">
      <alignment horizontal="left"/>
    </xf>
    <xf numFmtId="0" fontId="8" fillId="0" borderId="20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right" vertical="center"/>
    </xf>
    <xf numFmtId="0" fontId="3" fillId="0" borderId="0" xfId="0" applyFont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/>
    <xf numFmtId="0" fontId="18" fillId="0" borderId="10" xfId="0" applyFont="1" applyFill="1" applyBorder="1" applyAlignment="1">
      <alignment horizontal="left"/>
    </xf>
    <xf numFmtId="0" fontId="18" fillId="2" borderId="12" xfId="0" applyFont="1" applyFill="1" applyBorder="1" applyAlignment="1">
      <alignment horizontal="left"/>
    </xf>
    <xf numFmtId="0" fontId="10" fillId="2" borderId="13" xfId="1" applyFont="1" applyFill="1" applyBorder="1" applyAlignment="1">
      <alignment horizontal="right"/>
    </xf>
    <xf numFmtId="0" fontId="27" fillId="5" borderId="0" xfId="5" applyBorder="1" applyAlignment="1">
      <alignment horizontal="center"/>
    </xf>
    <xf numFmtId="0" fontId="27" fillId="5" borderId="0" xfId="5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6" fillId="6" borderId="23" xfId="0" applyFont="1" applyFill="1" applyBorder="1" applyAlignment="1">
      <alignment horizontal="center" vertical="center"/>
    </xf>
    <xf numFmtId="0" fontId="26" fillId="6" borderId="24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2" fontId="18" fillId="0" borderId="6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textRotation="180"/>
    </xf>
    <xf numFmtId="165" fontId="16" fillId="0" borderId="1" xfId="0" applyNumberFormat="1" applyFont="1" applyFill="1" applyBorder="1" applyAlignment="1">
      <alignment horizontal="center" vertical="center" textRotation="180"/>
    </xf>
    <xf numFmtId="166" fontId="16" fillId="0" borderId="1" xfId="0" applyNumberFormat="1" applyFont="1" applyFill="1" applyBorder="1" applyAlignment="1">
      <alignment horizontal="center" vertical="center" textRotation="180" wrapText="1" readingOrder="1"/>
    </xf>
    <xf numFmtId="0" fontId="16" fillId="0" borderId="1" xfId="0" applyFont="1" applyFill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165" fontId="18" fillId="0" borderId="25" xfId="0" applyNumberFormat="1" applyFont="1" applyFill="1" applyBorder="1" applyAlignment="1">
      <alignment horizontal="center" vertical="center"/>
    </xf>
    <xf numFmtId="165" fontId="18" fillId="2" borderId="25" xfId="0" applyNumberFormat="1" applyFont="1" applyFill="1" applyBorder="1" applyAlignment="1">
      <alignment horizontal="center" vertical="center"/>
    </xf>
    <xf numFmtId="165" fontId="18" fillId="0" borderId="28" xfId="0" applyNumberFormat="1" applyFont="1" applyFill="1" applyBorder="1" applyAlignment="1">
      <alignment horizontal="center" vertical="center"/>
    </xf>
    <xf numFmtId="165" fontId="18" fillId="0" borderId="29" xfId="0" applyNumberFormat="1" applyFont="1" applyFill="1" applyBorder="1" applyAlignment="1">
      <alignment horizontal="center" vertical="center"/>
    </xf>
    <xf numFmtId="165" fontId="18" fillId="0" borderId="30" xfId="0" applyNumberFormat="1" applyFont="1" applyFill="1" applyBorder="1" applyAlignment="1">
      <alignment horizontal="center" vertical="center"/>
    </xf>
    <xf numFmtId="165" fontId="18" fillId="0" borderId="31" xfId="0" applyNumberFormat="1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2" fontId="18" fillId="0" borderId="25" xfId="0" applyNumberFormat="1" applyFont="1" applyFill="1" applyBorder="1" applyAlignment="1">
      <alignment horizontal="center" vertical="center"/>
    </xf>
    <xf numFmtId="167" fontId="16" fillId="0" borderId="4" xfId="0" applyNumberFormat="1" applyFont="1" applyFill="1" applyBorder="1" applyAlignment="1">
      <alignment vertical="center"/>
    </xf>
    <xf numFmtId="167" fontId="16" fillId="0" borderId="2" xfId="0" applyNumberFormat="1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2" fontId="18" fillId="0" borderId="28" xfId="0" applyNumberFormat="1" applyFont="1" applyFill="1" applyBorder="1" applyAlignment="1">
      <alignment horizontal="center" vertical="center"/>
    </xf>
    <xf numFmtId="167" fontId="16" fillId="0" borderId="26" xfId="0" applyNumberFormat="1" applyFont="1" applyFill="1" applyBorder="1" applyAlignment="1">
      <alignment vertical="center"/>
    </xf>
    <xf numFmtId="165" fontId="18" fillId="2" borderId="29" xfId="0" applyNumberFormat="1" applyFont="1" applyFill="1" applyBorder="1" applyAlignment="1">
      <alignment horizontal="center" vertical="center"/>
    </xf>
    <xf numFmtId="165" fontId="18" fillId="2" borderId="30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1" fillId="0" borderId="0" xfId="0" applyFont="1" applyFill="1" applyBorder="1" applyAlignment="1"/>
    <xf numFmtId="0" fontId="21" fillId="0" borderId="0" xfId="0" applyFont="1" applyAlignment="1"/>
    <xf numFmtId="0" fontId="23" fillId="0" borderId="0" xfId="0" applyFont="1" applyAlignment="1"/>
    <xf numFmtId="165" fontId="18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18" fillId="2" borderId="0" xfId="0" applyFont="1" applyFill="1" applyBorder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/>
    <xf numFmtId="0" fontId="17" fillId="0" borderId="0" xfId="0" applyNumberFormat="1" applyFont="1" applyFill="1" applyAlignment="1">
      <alignment horizontal="center" vertical="center"/>
    </xf>
    <xf numFmtId="165" fontId="16" fillId="0" borderId="0" xfId="0" applyNumberFormat="1" applyFont="1" applyFill="1" applyBorder="1" applyAlignment="1">
      <alignment vertical="center"/>
    </xf>
    <xf numFmtId="0" fontId="16" fillId="0" borderId="1" xfId="0" applyNumberFormat="1" applyFont="1" applyFill="1" applyBorder="1" applyAlignment="1">
      <alignment horizontal="center" vertical="center"/>
    </xf>
    <xf numFmtId="166" fontId="16" fillId="0" borderId="39" xfId="0" applyNumberFormat="1" applyFont="1" applyFill="1" applyBorder="1" applyAlignment="1">
      <alignment horizontal="right" vertical="center"/>
    </xf>
    <xf numFmtId="166" fontId="16" fillId="0" borderId="40" xfId="0" applyNumberFormat="1" applyFont="1" applyFill="1" applyBorder="1" applyAlignment="1">
      <alignment horizontal="right" vertical="center"/>
    </xf>
    <xf numFmtId="166" fontId="16" fillId="0" borderId="41" xfId="0" applyNumberFormat="1" applyFont="1" applyFill="1" applyBorder="1" applyAlignment="1">
      <alignment horizontal="right" vertical="center"/>
    </xf>
    <xf numFmtId="166" fontId="18" fillId="0" borderId="4" xfId="0" applyNumberFormat="1" applyFont="1" applyFill="1" applyBorder="1" applyAlignment="1">
      <alignment vertical="center"/>
    </xf>
    <xf numFmtId="166" fontId="18" fillId="0" borderId="2" xfId="0" applyNumberFormat="1" applyFont="1" applyFill="1" applyBorder="1" applyAlignment="1">
      <alignment vertical="center"/>
    </xf>
    <xf numFmtId="166" fontId="18" fillId="0" borderId="26" xfId="0" applyNumberFormat="1" applyFont="1" applyFill="1" applyBorder="1" applyAlignment="1">
      <alignment vertical="center"/>
    </xf>
    <xf numFmtId="165" fontId="28" fillId="0" borderId="42" xfId="0" applyNumberFormat="1" applyFont="1" applyFill="1" applyBorder="1" applyAlignment="1">
      <alignment horizontal="right" vertical="center"/>
    </xf>
    <xf numFmtId="165" fontId="28" fillId="0" borderId="43" xfId="0" applyNumberFormat="1" applyFont="1" applyFill="1" applyBorder="1" applyAlignment="1">
      <alignment horizontal="right" vertical="center"/>
    </xf>
    <xf numFmtId="165" fontId="28" fillId="0" borderId="44" xfId="0" applyNumberFormat="1" applyFont="1" applyFill="1" applyBorder="1" applyAlignment="1">
      <alignment horizontal="right" vertical="center"/>
    </xf>
    <xf numFmtId="0" fontId="24" fillId="3" borderId="4" xfId="0" applyFont="1" applyFill="1" applyBorder="1" applyAlignment="1">
      <alignment horizontal="center" vertical="center"/>
    </xf>
    <xf numFmtId="0" fontId="16" fillId="3" borderId="32" xfId="0" quotePrefix="1" applyFont="1" applyFill="1" applyBorder="1" applyAlignment="1">
      <alignment horizontal="center" vertical="center"/>
    </xf>
    <xf numFmtId="165" fontId="18" fillId="3" borderId="33" xfId="0" quotePrefix="1" applyNumberFormat="1" applyFont="1" applyFill="1" applyBorder="1" applyAlignment="1">
      <alignment horizontal="center" vertical="center"/>
    </xf>
    <xf numFmtId="165" fontId="18" fillId="3" borderId="25" xfId="0" applyNumberFormat="1" applyFont="1" applyFill="1" applyBorder="1" applyAlignment="1">
      <alignment horizontal="center" vertical="center"/>
    </xf>
    <xf numFmtId="165" fontId="18" fillId="3" borderId="34" xfId="0" applyNumberFormat="1" applyFont="1" applyFill="1" applyBorder="1" applyAlignment="1">
      <alignment horizontal="center" vertical="center"/>
    </xf>
    <xf numFmtId="165" fontId="19" fillId="3" borderId="29" xfId="0" applyNumberFormat="1" applyFont="1" applyFill="1" applyBorder="1" applyAlignment="1">
      <alignment horizontal="center" vertical="center"/>
    </xf>
    <xf numFmtId="165" fontId="19" fillId="3" borderId="25" xfId="0" applyNumberFormat="1" applyFont="1" applyFill="1" applyBorder="1" applyAlignment="1">
      <alignment horizontal="center" vertical="center"/>
    </xf>
    <xf numFmtId="2" fontId="19" fillId="3" borderId="25" xfId="0" applyNumberFormat="1" applyFont="1" applyFill="1" applyBorder="1" applyAlignment="1">
      <alignment horizontal="center" vertical="center"/>
    </xf>
    <xf numFmtId="166" fontId="17" fillId="3" borderId="25" xfId="0" applyNumberFormat="1" applyFont="1" applyFill="1" applyBorder="1" applyAlignment="1">
      <alignment horizontal="right" vertical="center"/>
    </xf>
    <xf numFmtId="166" fontId="29" fillId="3" borderId="39" xfId="0" applyNumberFormat="1" applyFont="1" applyFill="1" applyBorder="1" applyAlignment="1">
      <alignment horizontal="right" vertical="center"/>
    </xf>
    <xf numFmtId="166" fontId="19" fillId="3" borderId="4" xfId="0" applyNumberFormat="1" applyFont="1" applyFill="1" applyBorder="1" applyAlignment="1">
      <alignment vertical="center"/>
    </xf>
    <xf numFmtId="167" fontId="17" fillId="3" borderId="4" xfId="0" applyNumberFormat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" borderId="32" xfId="0" applyFont="1" applyFill="1" applyBorder="1" applyAlignment="1">
      <alignment horizontal="center" vertical="center"/>
    </xf>
    <xf numFmtId="165" fontId="18" fillId="3" borderId="35" xfId="0" applyNumberFormat="1" applyFont="1" applyFill="1" applyBorder="1" applyAlignment="1">
      <alignment horizontal="center" vertical="center"/>
    </xf>
    <xf numFmtId="165" fontId="18" fillId="3" borderId="6" xfId="0" applyNumberFormat="1" applyFont="1" applyFill="1" applyBorder="1" applyAlignment="1">
      <alignment horizontal="center" vertical="center"/>
    </xf>
    <xf numFmtId="165" fontId="18" fillId="3" borderId="36" xfId="0" applyNumberFormat="1" applyFont="1" applyFill="1" applyBorder="1" applyAlignment="1">
      <alignment horizontal="center" vertical="center"/>
    </xf>
    <xf numFmtId="165" fontId="19" fillId="3" borderId="30" xfId="0" applyNumberFormat="1" applyFont="1" applyFill="1" applyBorder="1" applyAlignment="1">
      <alignment horizontal="center" vertical="center"/>
    </xf>
    <xf numFmtId="165" fontId="19" fillId="3" borderId="6" xfId="0" applyNumberFormat="1" applyFont="1" applyFill="1" applyBorder="1" applyAlignment="1">
      <alignment horizontal="center" vertical="center"/>
    </xf>
    <xf numFmtId="2" fontId="19" fillId="3" borderId="6" xfId="0" applyNumberFormat="1" applyFont="1" applyFill="1" applyBorder="1" applyAlignment="1">
      <alignment horizontal="center" vertical="center"/>
    </xf>
    <xf numFmtId="166" fontId="17" fillId="3" borderId="6" xfId="0" applyNumberFormat="1" applyFont="1" applyFill="1" applyBorder="1" applyAlignment="1">
      <alignment horizontal="right" vertical="center"/>
    </xf>
    <xf numFmtId="166" fontId="29" fillId="3" borderId="40" xfId="0" applyNumberFormat="1" applyFont="1" applyFill="1" applyBorder="1" applyAlignment="1">
      <alignment horizontal="right" vertical="center"/>
    </xf>
    <xf numFmtId="166" fontId="19" fillId="3" borderId="2" xfId="0" applyNumberFormat="1" applyFont="1" applyFill="1" applyBorder="1" applyAlignment="1">
      <alignment vertical="center"/>
    </xf>
    <xf numFmtId="167" fontId="17" fillId="3" borderId="2" xfId="0" applyNumberFormat="1" applyFont="1" applyFill="1" applyBorder="1" applyAlignment="1">
      <alignment vertical="center"/>
    </xf>
    <xf numFmtId="0" fontId="16" fillId="3" borderId="26" xfId="0" applyFont="1" applyFill="1" applyBorder="1" applyAlignment="1">
      <alignment horizontal="center" vertical="center"/>
    </xf>
    <xf numFmtId="0" fontId="16" fillId="3" borderId="27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165" fontId="18" fillId="3" borderId="37" xfId="0" applyNumberFormat="1" applyFont="1" applyFill="1" applyBorder="1" applyAlignment="1">
      <alignment horizontal="center" vertical="center"/>
    </xf>
    <xf numFmtId="165" fontId="18" fillId="3" borderId="28" xfId="0" applyNumberFormat="1" applyFont="1" applyFill="1" applyBorder="1" applyAlignment="1">
      <alignment horizontal="center" vertical="center"/>
    </xf>
    <xf numFmtId="165" fontId="18" fillId="3" borderId="38" xfId="0" applyNumberFormat="1" applyFont="1" applyFill="1" applyBorder="1" applyAlignment="1">
      <alignment horizontal="center" vertical="center"/>
    </xf>
    <xf numFmtId="165" fontId="19" fillId="3" borderId="31" xfId="0" applyNumberFormat="1" applyFont="1" applyFill="1" applyBorder="1" applyAlignment="1">
      <alignment horizontal="center" vertical="center"/>
    </xf>
    <xf numFmtId="165" fontId="19" fillId="3" borderId="28" xfId="0" applyNumberFormat="1" applyFont="1" applyFill="1" applyBorder="1" applyAlignment="1">
      <alignment horizontal="center" vertical="center"/>
    </xf>
    <xf numFmtId="2" fontId="19" fillId="3" borderId="28" xfId="0" applyNumberFormat="1" applyFont="1" applyFill="1" applyBorder="1" applyAlignment="1">
      <alignment horizontal="center" vertical="center"/>
    </xf>
    <xf numFmtId="166" fontId="17" fillId="3" borderId="28" xfId="0" applyNumberFormat="1" applyFont="1" applyFill="1" applyBorder="1" applyAlignment="1">
      <alignment horizontal="right" vertical="center"/>
    </xf>
    <xf numFmtId="166" fontId="29" fillId="3" borderId="41" xfId="0" applyNumberFormat="1" applyFont="1" applyFill="1" applyBorder="1" applyAlignment="1">
      <alignment horizontal="right" vertical="center"/>
    </xf>
    <xf numFmtId="166" fontId="19" fillId="3" borderId="26" xfId="0" applyNumberFormat="1" applyFont="1" applyFill="1" applyBorder="1" applyAlignment="1">
      <alignment vertical="center"/>
    </xf>
    <xf numFmtId="167" fontId="17" fillId="3" borderId="26" xfId="0" applyNumberFormat="1" applyFont="1" applyFill="1" applyBorder="1" applyAlignment="1">
      <alignment vertical="center"/>
    </xf>
    <xf numFmtId="0" fontId="30" fillId="3" borderId="3" xfId="0" applyFont="1" applyFill="1" applyBorder="1" applyAlignment="1">
      <alignment vertical="center"/>
    </xf>
    <xf numFmtId="0" fontId="30" fillId="3" borderId="4" xfId="0" applyFont="1" applyFill="1" applyBorder="1" applyAlignment="1">
      <alignment vertical="center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/>
    <xf numFmtId="0" fontId="32" fillId="0" borderId="0" xfId="0" applyNumberFormat="1" applyFont="1" applyFill="1" applyAlignment="1">
      <alignment horizontal="center" vertical="center"/>
    </xf>
    <xf numFmtId="166" fontId="32" fillId="0" borderId="0" xfId="0" applyNumberFormat="1" applyFont="1" applyFill="1"/>
    <xf numFmtId="165" fontId="18" fillId="7" borderId="30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2" fontId="18" fillId="7" borderId="6" xfId="0" applyNumberFormat="1" applyFont="1" applyFill="1" applyBorder="1" applyAlignment="1">
      <alignment horizontal="center" vertical="center"/>
    </xf>
    <xf numFmtId="166" fontId="16" fillId="7" borderId="40" xfId="0" applyNumberFormat="1" applyFont="1" applyFill="1" applyBorder="1" applyAlignment="1">
      <alignment horizontal="right" vertical="center"/>
    </xf>
    <xf numFmtId="165" fontId="28" fillId="7" borderId="43" xfId="0" applyNumberFormat="1" applyFont="1" applyFill="1" applyBorder="1" applyAlignment="1">
      <alignment horizontal="right" vertical="center"/>
    </xf>
    <xf numFmtId="165" fontId="18" fillId="7" borderId="31" xfId="0" applyNumberFormat="1" applyFont="1" applyFill="1" applyBorder="1" applyAlignment="1">
      <alignment horizontal="center" vertical="center"/>
    </xf>
    <xf numFmtId="165" fontId="18" fillId="7" borderId="28" xfId="0" applyNumberFormat="1" applyFont="1" applyFill="1" applyBorder="1" applyAlignment="1">
      <alignment horizontal="center" vertical="center"/>
    </xf>
    <xf numFmtId="2" fontId="18" fillId="7" borderId="28" xfId="0" applyNumberFormat="1" applyFont="1" applyFill="1" applyBorder="1" applyAlignment="1">
      <alignment horizontal="center" vertical="center"/>
    </xf>
    <xf numFmtId="166" fontId="16" fillId="7" borderId="41" xfId="0" applyNumberFormat="1" applyFont="1" applyFill="1" applyBorder="1" applyAlignment="1">
      <alignment horizontal="right" vertical="center"/>
    </xf>
    <xf numFmtId="165" fontId="28" fillId="7" borderId="44" xfId="0" applyNumberFormat="1" applyFont="1" applyFill="1" applyBorder="1" applyAlignment="1">
      <alignment horizontal="right" vertical="center"/>
    </xf>
    <xf numFmtId="0" fontId="27" fillId="5" borderId="0" xfId="5" applyBorder="1" applyAlignment="1">
      <alignment horizontal="left"/>
    </xf>
    <xf numFmtId="0" fontId="0" fillId="0" borderId="0" xfId="0" applyFill="1" applyAlignment="1">
      <alignment horizontal="center"/>
    </xf>
    <xf numFmtId="0" fontId="8" fillId="2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9" xfId="0" applyBorder="1" applyAlignment="1">
      <alignment horizontal="left"/>
    </xf>
    <xf numFmtId="0" fontId="8" fillId="0" borderId="21" xfId="1" applyFont="1" applyFill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9" fillId="3" borderId="8" xfId="0" applyFont="1" applyFill="1" applyBorder="1" applyAlignment="1">
      <alignment horizontal="center" vertical="center"/>
    </xf>
    <xf numFmtId="0" fontId="10" fillId="4" borderId="15" xfId="1" applyFont="1" applyFill="1" applyBorder="1" applyAlignment="1">
      <alignment horizontal="center"/>
    </xf>
    <xf numFmtId="0" fontId="10" fillId="4" borderId="16" xfId="1" applyFont="1" applyFill="1" applyBorder="1" applyAlignment="1">
      <alignment horizontal="center"/>
    </xf>
    <xf numFmtId="0" fontId="10" fillId="4" borderId="17" xfId="1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165" fontId="13" fillId="2" borderId="0" xfId="0" applyNumberFormat="1" applyFont="1" applyFill="1" applyBorder="1" applyAlignment="1">
      <alignment horizontal="center" vertical="center"/>
    </xf>
    <xf numFmtId="165" fontId="13" fillId="2" borderId="11" xfId="0" applyNumberFormat="1" applyFont="1" applyFill="1" applyBorder="1" applyAlignment="1">
      <alignment horizontal="center" vertical="center"/>
    </xf>
    <xf numFmtId="165" fontId="13" fillId="2" borderId="13" xfId="0" applyNumberFormat="1" applyFont="1" applyFill="1" applyBorder="1" applyAlignment="1">
      <alignment horizontal="center" vertical="center"/>
    </xf>
    <xf numFmtId="165" fontId="13" fillId="2" borderId="14" xfId="0" applyNumberFormat="1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10" fillId="4" borderId="7" xfId="1" applyFont="1" applyFill="1" applyBorder="1" applyAlignment="1">
      <alignment horizontal="center"/>
    </xf>
    <xf numFmtId="0" fontId="10" fillId="4" borderId="8" xfId="1" applyFont="1" applyFill="1" applyBorder="1" applyAlignment="1">
      <alignment horizontal="center"/>
    </xf>
    <xf numFmtId="0" fontId="10" fillId="4" borderId="9" xfId="1" applyFont="1" applyFill="1" applyBorder="1" applyAlignment="1">
      <alignment horizontal="center"/>
    </xf>
    <xf numFmtId="0" fontId="8" fillId="0" borderId="11" xfId="1" applyFont="1" applyFill="1" applyBorder="1" applyAlignment="1">
      <alignment horizontal="left"/>
    </xf>
    <xf numFmtId="0" fontId="0" fillId="0" borderId="11" xfId="0" applyBorder="1" applyAlignment="1">
      <alignment horizontal="left"/>
    </xf>
    <xf numFmtId="0" fontId="8" fillId="0" borderId="13" xfId="1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16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</cellXfs>
  <cellStyles count="6">
    <cellStyle name="Énfasis1" xfId="5" builtinId="29"/>
    <cellStyle name="Millares 2" xfId="2" xr:uid="{783445E6-0F0E-41B0-A962-355CF487364F}"/>
    <cellStyle name="Normal" xfId="0" builtinId="0"/>
    <cellStyle name="Normal 2" xfId="1" xr:uid="{F1E4ADD3-F3D6-4E72-97BF-76AC55324B9E}"/>
    <cellStyle name="Normal 3" xfId="4" xr:uid="{7C02D466-6D9D-4ED0-929E-A3A84D5FB2D1}"/>
    <cellStyle name="Normal 4" xfId="3" xr:uid="{C79B1DDC-15C6-49A4-AEAC-26572BB5FA54}"/>
  </cellStyles>
  <dxfs count="46">
    <dxf>
      <fill>
        <patternFill>
          <bgColor theme="4" tint="0.59996337778862885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.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0.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808080"/>
      <color rgb="FFE4E4E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101664</xdr:colOff>
      <xdr:row>0</xdr:row>
      <xdr:rowOff>1525</xdr:rowOff>
    </xdr:from>
    <xdr:to>
      <xdr:col>11</xdr:col>
      <xdr:colOff>165037</xdr:colOff>
      <xdr:row>4</xdr:row>
      <xdr:rowOff>103252</xdr:rowOff>
    </xdr:to>
    <xdr:pic>
      <xdr:nvPicPr>
        <xdr:cNvPr id="5" name="2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2489" y="1525"/>
          <a:ext cx="1863598" cy="8256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14</xdr:row>
          <xdr:rowOff>38100</xdr:rowOff>
        </xdr:from>
        <xdr:to>
          <xdr:col>15</xdr:col>
          <xdr:colOff>60960</xdr:colOff>
          <xdr:row>16</xdr:row>
          <xdr:rowOff>114300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16</xdr:row>
          <xdr:rowOff>167640</xdr:rowOff>
        </xdr:from>
        <xdr:to>
          <xdr:col>15</xdr:col>
          <xdr:colOff>30480</xdr:colOff>
          <xdr:row>19</xdr:row>
          <xdr:rowOff>45720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21</xdr:row>
          <xdr:rowOff>7620</xdr:rowOff>
        </xdr:from>
        <xdr:to>
          <xdr:col>15</xdr:col>
          <xdr:colOff>38100</xdr:colOff>
          <xdr:row>23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Planilla y posiciones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24</xdr:row>
          <xdr:rowOff>53340</xdr:rowOff>
        </xdr:from>
        <xdr:to>
          <xdr:col>15</xdr:col>
          <xdr:colOff>53340</xdr:colOff>
          <xdr:row>26</xdr:row>
          <xdr:rowOff>114300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Inscripciones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101664</xdr:colOff>
      <xdr:row>0</xdr:row>
      <xdr:rowOff>0</xdr:rowOff>
    </xdr:from>
    <xdr:to>
      <xdr:col>18</xdr:col>
      <xdr:colOff>88837</xdr:colOff>
      <xdr:row>4</xdr:row>
      <xdr:rowOff>25813</xdr:rowOff>
    </xdr:to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4714" y="0"/>
          <a:ext cx="1863598" cy="82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1249800</xdr:colOff>
      <xdr:row>0</xdr:row>
      <xdr:rowOff>68659</xdr:rowOff>
    </xdr:from>
    <xdr:to>
      <xdr:col>6</xdr:col>
      <xdr:colOff>57150</xdr:colOff>
      <xdr:row>4</xdr:row>
      <xdr:rowOff>94536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3500" y="68659"/>
          <a:ext cx="1979175" cy="8297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DD71A-F040-4794-9072-F1D10B31AE40}" name="tblClubes" displayName="tblClubes" ref="A9:A14" totalsRowShown="0" headerRowDxfId="45" dataDxfId="44">
  <autoFilter ref="A9:A14" xr:uid="{825DD71A-F040-4794-9072-F1D10B31AE40}">
    <filterColumn colId="0" hiddenButton="1"/>
  </autoFilter>
  <tableColumns count="1">
    <tableColumn id="1" xr3:uid="{C134A1AF-B278-459D-A19F-5C723052FA29}" name="Clubes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BD148-8392-4D43-A038-1851DB9C3EE9}" name="tblJueces" displayName="tblJueces" ref="D9:E27" totalsRowShown="0" headerRowDxfId="42">
  <autoFilter ref="D9:E27" xr:uid="{09BBD148-8392-4D43-A038-1851DB9C3EE9}">
    <filterColumn colId="0" hiddenButton="1"/>
    <filterColumn colId="1" hiddenButton="1"/>
  </autoFilter>
  <sortState xmlns:xlrd2="http://schemas.microsoft.com/office/spreadsheetml/2017/richdata2" ref="D10:D19">
    <sortCondition ref="D13:D21"/>
  </sortState>
  <tableColumns count="2">
    <tableColumn id="1" xr3:uid="{CCD8BCAC-C02F-4863-A078-61F2BA8FDCFB}" name="Jueces"/>
    <tableColumn id="2" xr3:uid="{560A90BD-806B-4F5C-8BFA-F2CCFFD53211}" name="Asignado" dataDxfId="41">
      <calculatedColumnFormula>COUNTIFS(JuecesPanel1,tblJueces[[#This Row],[Jueces]]) + COUNTIFS(JuecesPanel2,tblJueces[[#This Row],[Jueces]])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883DEF-D164-4FDB-A33B-4BB5324D8EBD}" name="tblFiguras" displayName="tblFiguras" ref="I9:N25" totalsRowShown="0" headerRowDxfId="40">
  <autoFilter ref="I9:N25" xr:uid="{93883DEF-D164-4FDB-A33B-4BB5324D8E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A85148B7-413B-4CBF-970E-D71A72A5D475}" name="Categoria"/>
    <tableColumn id="5" xr3:uid="{B00B802F-0288-4E6D-BBC5-B4515F657E01}" name="Grupo"/>
    <tableColumn id="1" xr3:uid="{B260882A-3EB2-43A8-B9DB-1183DA86B5A8}" name="Descripcion"/>
    <tableColumn id="2" xr3:uid="{DFAFBF6B-B657-48CB-A417-778A1DD640DB}" name="Nombre"/>
    <tableColumn id="3" xr3:uid="{71BEFF16-884D-4E52-8F14-805D4D60B103}" name="Cod"/>
    <tableColumn id="4" xr3:uid="{25FBB54D-1A26-492A-99BD-DAD1BE5F0AC0}" name="GD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3D0E6B-111B-4A7D-8735-155AB4DBE671}" name="tblDeportistas" displayName="tblDeportistas" ref="B6:F53" totalsRowShown="0" headerRowDxfId="38" dataDxfId="37">
  <autoFilter ref="B6:F53" xr:uid="{203D0E6B-111B-4A7D-8735-155AB4DBE67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E639A4-1712-42F8-93AF-9C6A73192B03}" name="O.A." dataDxfId="36"/>
    <tableColumn id="2" xr3:uid="{7D1547D8-14D5-48E5-8A0A-7899A987F23F}" name="Deportista" dataDxfId="35"/>
    <tableColumn id="3" xr3:uid="{42F52486-9B3E-4E70-BE7F-566B91C7D2DC}" name="Club" dataDxfId="34"/>
    <tableColumn id="4" xr3:uid="{D6B0B88C-E515-4D1E-9CD2-AB44950C0299}" name="Entrenadora" dataDxfId="33"/>
    <tableColumn id="5" xr3:uid="{7F96CF0E-AE07-43CD-BFC1-5F62082FE0EF}" name="Compite" dataDxfId="32"/>
  </tableColumns>
  <tableStyleInfo name="TableStyleLight18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30C16-2F59-47FF-8623-BFF83EFF3AB9}" name="tblPlanilla" displayName="tblPlanilla" ref="B7:S196" totalsRowShown="0" headerRowDxfId="31" headerRowBorderDxfId="30">
  <autoFilter ref="B7:S196" xr:uid="{28130C16-2F59-47FF-8623-BFF83EFF3A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525777B-CD60-4496-A20A-ADF8B2999791}" name="Orden" dataDxfId="29"/>
    <tableColumn id="2" xr3:uid="{6A9B43B3-7690-42DD-8B56-5023CD79BC0B}" name="Deportista" dataDxfId="28"/>
    <tableColumn id="3" xr3:uid="{BB24CAFE-41C6-440C-A141-57C170200652}" name="Club" dataDxfId="27"/>
    <tableColumn id="4" xr3:uid="{AAB30E8E-14B1-40AD-80CB-6210E1CF11BC}" name="Cód Fig." dataDxfId="26"/>
    <tableColumn id="5" xr3:uid="{240EF8B5-8464-482A-8369-B241BF4946BB}" name="1" dataDxfId="25"/>
    <tableColumn id="6" xr3:uid="{EFD31E2A-9C96-43D5-BB44-C62D47B2EB4D}" name="2" dataDxfId="24"/>
    <tableColumn id="7" xr3:uid="{2F922F07-F60D-451A-A68C-AF53A2C5D559}" name="3" dataDxfId="23"/>
    <tableColumn id="8" xr3:uid="{D9D16E44-A0E2-4AA1-BCEB-0CDCD7119696}" name="4" dataDxfId="22"/>
    <tableColumn id="9" xr3:uid="{17359727-B0B4-4300-B194-812671625F11}" name="5" dataDxfId="21"/>
    <tableColumn id="10" xr3:uid="{AA3E240D-FB39-4E73-A1BA-222A5AC06FF7}" name="6" dataDxfId="20"/>
    <tableColumn id="11" xr3:uid="{E449E7EC-E389-4EEC-B6F7-A8CE74A9511A}" name="7" dataDxfId="19"/>
    <tableColumn id="12" xr3:uid="{87DD6381-BE50-4A0C-8C1A-E375E972666F}" name="Máxima" dataDxfId="18"/>
    <tableColumn id="13" xr3:uid="{7EFA1071-B594-419F-8C61-18E5BA11F40D}" name="Minima" dataDxfId="17"/>
    <tableColumn id="14" xr3:uid="{DE9CB4F4-7241-4F3F-9DF3-19A476589936}" name="Prom." dataDxfId="16"/>
    <tableColumn id="15" xr3:uid="{B568B340-F0BC-4D8B-BBC2-00D39C750524}" name="Prom. X GD" dataDxfId="15"/>
    <tableColumn id="16" xr3:uid="{3EB618C8-7797-4BB4-A77A-C1083600C82D}" name="Penaliz" dataDxfId="14"/>
    <tableColumn id="17" xr3:uid="{055F88D1-984B-47A0-8AB1-AFB10C6464AA}" name="SUMA PARCIAL" dataDxfId="13"/>
    <tableColumn id="18" xr3:uid="{71B404F6-6BF4-4F79-8DD3-3937985D0384}" name="TOTAL" dataDxfId="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F95EC0-9012-437C-89D6-5A6643B574F3}" name="tblPosiciones" displayName="tblPosiciones" comment="Tabla con el encabezado de los puntajes finales" ref="A7:F54" totalsRowShown="0" headerRowDxfId="11" dataDxfId="10" dataCellStyle="Normal">
  <autoFilter ref="A7:F54" xr:uid="{30136820-2352-4251-A143-7C1AE27CD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8:F54">
    <sortCondition descending="1" ref="E8:E54"/>
    <sortCondition ref="A8:A54"/>
  </sortState>
  <tableColumns count="6">
    <tableColumn id="1" xr3:uid="{A4A5F30A-00DE-4B30-8A75-02ED0FBE486C}" name="Orden Salida" dataDxfId="9" dataCellStyle="Normal"/>
    <tableColumn id="2" xr3:uid="{58FF4B53-F92C-4A37-872D-5C3DCD6E5525}" name="Deportista" dataDxfId="8" dataCellStyle="Normal"/>
    <tableColumn id="3" xr3:uid="{262C7A2F-059D-4799-ADCE-92BBFF55086C}" name="Club" dataDxfId="7" dataCellStyle="Normal"/>
    <tableColumn id="4" xr3:uid="{F37C6805-7DD0-4C42-A169-252943A9696C}" name="Entrenadora" dataDxfId="6" dataCellStyle="Normal"/>
    <tableColumn id="5" xr3:uid="{0BF02DD1-8673-47C4-B737-91F1A10BCF07}" name="Puntaje Final" dataDxfId="5" dataCellStyle="Normal">
      <calculatedColumnFormula>_xlfn.XLOOKUP(tblPosiciones[[#This Row],[Deportista]],tblPlanilla[Deportista],tblPlanilla[TOTAL])</calculatedColumnFormula>
    </tableColumn>
    <tableColumn id="6" xr3:uid="{98BD4F22-3CDD-478E-9B42-AEC8B124FE61}" name="Posición Final" dataDxfId="4" dataCellStyle="Normal"/>
  </tableColumns>
  <tableStyleInfo name="TableStyleLight18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C3D8-AAF4-411B-A959-0786B16A02D6}">
  <sheetPr codeName="Hoja4">
    <pageSetUpPr fitToPage="1"/>
  </sheetPr>
  <dimension ref="A1:U35"/>
  <sheetViews>
    <sheetView showGridLines="0" workbookViewId="0">
      <selection activeCell="A18" sqref="A18"/>
    </sheetView>
  </sheetViews>
  <sheetFormatPr baseColWidth="10" defaultColWidth="0" defaultRowHeight="14.4" x14ac:dyDescent="0.3"/>
  <cols>
    <col min="1" max="1" width="27.5546875" customWidth="1"/>
    <col min="2" max="2" width="4.109375" customWidth="1"/>
    <col min="3" max="3" width="3.109375" customWidth="1"/>
    <col min="4" max="4" width="20.33203125" customWidth="1"/>
    <col min="5" max="5" width="20.33203125" hidden="1" customWidth="1"/>
    <col min="6" max="6" width="3.44140625" hidden="1" customWidth="1"/>
    <col min="7" max="7" width="17.5546875" hidden="1" customWidth="1"/>
    <col min="8" max="8" width="6" customWidth="1"/>
    <col min="9" max="9" width="9.44140625" bestFit="1" customWidth="1"/>
    <col min="10" max="10" width="6.5546875" bestFit="1" customWidth="1"/>
    <col min="11" max="11" width="11.33203125" bestFit="1" customWidth="1"/>
    <col min="12" max="12" width="28.33203125" bestFit="1" customWidth="1"/>
    <col min="13" max="13" width="5" customWidth="1"/>
    <col min="14" max="14" width="3.88671875" customWidth="1"/>
    <col min="15" max="15" width="3.33203125" customWidth="1"/>
    <col min="16" max="16" width="11" customWidth="1"/>
    <col min="17" max="17" width="28.33203125" bestFit="1" customWidth="1"/>
    <col min="18" max="19" width="4.6640625" customWidth="1"/>
    <col min="20" max="21" width="11.44140625" customWidth="1"/>
    <col min="22" max="16384" width="11.44140625" hidden="1"/>
  </cols>
  <sheetData>
    <row r="1" spans="1:19" ht="15.6" x14ac:dyDescent="0.3">
      <c r="A1" t="str">
        <f>"Categoría "&amp;$M$5</f>
        <v>Categoría Infantil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ht="15.6" x14ac:dyDescent="0.3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ht="15.6" x14ac:dyDescent="0.3">
      <c r="A3" s="21" t="s">
        <v>52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">
      <c r="A4" t="s">
        <v>15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3">
      <c r="A5" t="s">
        <v>133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81" t="s">
        <v>101</v>
      </c>
      <c r="M5" s="204" t="s">
        <v>100</v>
      </c>
      <c r="N5" s="204"/>
      <c r="O5" s="20"/>
      <c r="P5" s="20"/>
      <c r="Q5" s="20"/>
      <c r="R5" s="20"/>
      <c r="S5" s="20"/>
    </row>
    <row r="6" spans="1:19" x14ac:dyDescent="0.3">
      <c r="A6" t="str">
        <f>"Figuras - " &amp; TituloCategoria</f>
        <v>Figuras - Categoría Infantil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3">
      <c r="A7" t="s">
        <v>134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80"/>
      <c r="M7" s="81" t="s">
        <v>97</v>
      </c>
      <c r="N7" s="80">
        <v>1</v>
      </c>
      <c r="O7" s="20"/>
      <c r="P7" s="20"/>
      <c r="Q7" s="20"/>
      <c r="R7" s="20"/>
      <c r="S7" s="20"/>
    </row>
    <row r="8" spans="1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O8" s="18"/>
      <c r="P8" s="83" t="str">
        <f>"Figuras "&amp;$M$5&amp;" a calificar"</f>
        <v>Figuras Infantil a calificar</v>
      </c>
    </row>
    <row r="9" spans="1:19" ht="15" thickBot="1" x14ac:dyDescent="0.35">
      <c r="A9" s="18" t="s">
        <v>13</v>
      </c>
      <c r="D9" s="14" t="s">
        <v>47</v>
      </c>
      <c r="E9" s="14" t="s">
        <v>84</v>
      </c>
      <c r="G9" s="74" t="s">
        <v>86</v>
      </c>
      <c r="I9" s="14" t="s">
        <v>99</v>
      </c>
      <c r="J9" s="14" t="s">
        <v>92</v>
      </c>
      <c r="K9" s="14" t="s">
        <v>94</v>
      </c>
      <c r="L9" s="14" t="s">
        <v>85</v>
      </c>
      <c r="M9" s="14" t="s">
        <v>91</v>
      </c>
      <c r="N9" s="14" t="s">
        <v>9</v>
      </c>
      <c r="P9" s="84" t="s">
        <v>81</v>
      </c>
      <c r="Q9" s="84" t="s">
        <v>85</v>
      </c>
      <c r="R9" s="84" t="s">
        <v>91</v>
      </c>
      <c r="S9" s="85" t="s">
        <v>9</v>
      </c>
    </row>
    <row r="10" spans="1:19" ht="15" thickTop="1" x14ac:dyDescent="0.3">
      <c r="A10" s="7" t="s">
        <v>65</v>
      </c>
      <c r="D10" t="s">
        <v>55</v>
      </c>
      <c r="E10">
        <f>COUNTIFS(JuecesPanel1,tblJueces[[#This Row],[Jueces]]) + COUNTIFS(JuecesPanel2,tblJueces[[#This Row],[Jueces]])</f>
        <v>0</v>
      </c>
      <c r="G10" t="str" cm="1">
        <f t="array" ref="G10:G22">_xlfn._xlws.FILTER(tblJueces[Jueces],tblJueces[Asignado]=0,"N.A:")</f>
        <v>Ana M. Lopera</v>
      </c>
      <c r="I10" t="s">
        <v>100</v>
      </c>
      <c r="J10">
        <v>0</v>
      </c>
      <c r="K10" t="s">
        <v>96</v>
      </c>
      <c r="L10" s="7" t="s">
        <v>23</v>
      </c>
      <c r="M10" s="7">
        <v>106</v>
      </c>
      <c r="N10" s="75">
        <v>1.6</v>
      </c>
      <c r="P10" t="str" cm="1">
        <f t="array" ref="P10:S11">_xlfn._xlws.FILTER(tblFiguras[[Descripcion]:[GD]],(tblFiguras[Grupo]=0)*(tblFiguras[Categoria]=$M$5),"N.A.")</f>
        <v>Obl. 1</v>
      </c>
      <c r="Q10" t="str">
        <v>Straight Ballet Leg</v>
      </c>
      <c r="R10">
        <v>106</v>
      </c>
      <c r="S10">
        <v>1.6</v>
      </c>
    </row>
    <row r="11" spans="1:19" x14ac:dyDescent="0.3">
      <c r="A11" s="13" t="s">
        <v>41</v>
      </c>
      <c r="D11" t="s">
        <v>56</v>
      </c>
      <c r="E11">
        <f>COUNTIFS(JuecesPanel1,tblJueces[[#This Row],[Jueces]]) + COUNTIFS(JuecesPanel2,tblJueces[[#This Row],[Jueces]])</f>
        <v>0</v>
      </c>
      <c r="G11" t="str">
        <v>Ana Sofia Molina</v>
      </c>
      <c r="I11" t="s">
        <v>100</v>
      </c>
      <c r="J11">
        <v>0</v>
      </c>
      <c r="K11" t="s">
        <v>95</v>
      </c>
      <c r="L11" s="7" t="s">
        <v>12</v>
      </c>
      <c r="M11" s="7">
        <v>301</v>
      </c>
      <c r="N11" s="75">
        <v>1.9</v>
      </c>
      <c r="P11" t="str">
        <v>Obl. 2</v>
      </c>
      <c r="Q11" t="str">
        <v>Barracuda</v>
      </c>
      <c r="R11">
        <v>301</v>
      </c>
      <c r="S11">
        <v>1.9</v>
      </c>
    </row>
    <row r="12" spans="1:19" x14ac:dyDescent="0.3">
      <c r="A12" s="13" t="s">
        <v>16</v>
      </c>
      <c r="D12" t="s">
        <v>116</v>
      </c>
      <c r="E12" s="15">
        <f>COUNTIFS(JuecesPanel1,tblJueces[[#This Row],[Jueces]]) + COUNTIFS(JuecesPanel2,tblJueces[[#This Row],[Jueces]])</f>
        <v>1</v>
      </c>
      <c r="G12" t="str">
        <v>Carolina Acevedo</v>
      </c>
      <c r="I12" t="s">
        <v>100</v>
      </c>
      <c r="J12">
        <v>1</v>
      </c>
      <c r="K12" t="s">
        <v>79</v>
      </c>
      <c r="L12" s="7" t="s">
        <v>18</v>
      </c>
      <c r="M12" s="7">
        <v>420</v>
      </c>
      <c r="N12" s="75">
        <v>1.9</v>
      </c>
      <c r="P12" t="str" cm="1">
        <f t="array" ref="P12:S13">_xlfn._xlws.FILTER(tblFiguras[[Descripcion]:[GD]],(tblFiguras[Grupo]=$N$7)*(tblFiguras[Categoria]=$M$5),"N.A.")</f>
        <v>Op 1 G1</v>
      </c>
      <c r="Q12" t="str">
        <v>Walkover Back</v>
      </c>
      <c r="R12">
        <v>420</v>
      </c>
      <c r="S12">
        <v>1.9</v>
      </c>
    </row>
    <row r="13" spans="1:19" x14ac:dyDescent="0.3">
      <c r="A13" s="13" t="s">
        <v>40</v>
      </c>
      <c r="D13" t="s">
        <v>57</v>
      </c>
      <c r="E13">
        <f>COUNTIFS(JuecesPanel1,tblJueces[[#This Row],[Jueces]]) + COUNTIFS(JuecesPanel2,tblJueces[[#This Row],[Jueces]])</f>
        <v>0</v>
      </c>
      <c r="G13" t="str">
        <v>Claudia Estrada</v>
      </c>
      <c r="I13" t="s">
        <v>100</v>
      </c>
      <c r="J13">
        <v>1</v>
      </c>
      <c r="K13" t="s">
        <v>80</v>
      </c>
      <c r="L13" t="s">
        <v>20</v>
      </c>
      <c r="M13">
        <v>327</v>
      </c>
      <c r="N13" s="76">
        <v>1.8</v>
      </c>
      <c r="P13" t="str">
        <v>Op 2 G1</v>
      </c>
      <c r="Q13" t="str">
        <v>Ballerina</v>
      </c>
      <c r="R13">
        <v>327</v>
      </c>
      <c r="S13">
        <v>1.8</v>
      </c>
    </row>
    <row r="14" spans="1:19" x14ac:dyDescent="0.3">
      <c r="A14" s="13" t="s">
        <v>17</v>
      </c>
      <c r="D14" t="s">
        <v>48</v>
      </c>
      <c r="E14">
        <f>COUNTIFS(JuecesPanel1,tblJueces[[#This Row],[Jueces]]) + COUNTIFS(JuecesPanel2,tblJueces[[#This Row],[Jueces]])</f>
        <v>0</v>
      </c>
      <c r="G14" t="str">
        <v>Gabriela Salcedo</v>
      </c>
      <c r="I14" t="s">
        <v>100</v>
      </c>
      <c r="J14">
        <v>2</v>
      </c>
      <c r="K14" t="s">
        <v>87</v>
      </c>
      <c r="L14" t="s">
        <v>43</v>
      </c>
      <c r="M14">
        <v>311</v>
      </c>
      <c r="N14" s="76">
        <v>1.6</v>
      </c>
    </row>
    <row r="15" spans="1:19" x14ac:dyDescent="0.3">
      <c r="A15" s="13"/>
      <c r="D15" t="s">
        <v>49</v>
      </c>
      <c r="E15">
        <f>COUNTIFS(JuecesPanel1,tblJueces[[#This Row],[Jueces]]) + COUNTIFS(JuecesPanel2,tblJueces[[#This Row],[Jueces]])</f>
        <v>0</v>
      </c>
      <c r="G15" t="str">
        <v>Lina M. Navarro</v>
      </c>
      <c r="I15" t="s">
        <v>100</v>
      </c>
      <c r="J15">
        <v>2</v>
      </c>
      <c r="K15" t="s">
        <v>90</v>
      </c>
      <c r="L15" t="s">
        <v>21</v>
      </c>
      <c r="M15">
        <v>401</v>
      </c>
      <c r="N15" s="76">
        <v>2</v>
      </c>
    </row>
    <row r="16" spans="1:19" x14ac:dyDescent="0.3">
      <c r="A16" s="13"/>
      <c r="D16" t="s">
        <v>58</v>
      </c>
      <c r="E16">
        <f>COUNTIFS(JuecesPanel1,tblJueces[[#This Row],[Jueces]]) + COUNTIFS(JuecesPanel2,tblJueces[[#This Row],[Jueces]])</f>
        <v>1</v>
      </c>
      <c r="G16" t="str">
        <v>Lina M. Zapata</v>
      </c>
      <c r="I16" t="s">
        <v>100</v>
      </c>
      <c r="J16">
        <v>3</v>
      </c>
      <c r="K16" t="s">
        <v>88</v>
      </c>
      <c r="L16" t="s">
        <v>19</v>
      </c>
      <c r="M16">
        <v>226</v>
      </c>
      <c r="N16" s="76">
        <v>2.1</v>
      </c>
    </row>
    <row r="17" spans="1:19" x14ac:dyDescent="0.3">
      <c r="A17" s="13"/>
      <c r="D17" t="s">
        <v>50</v>
      </c>
      <c r="E17">
        <f>COUNTIFS(JuecesPanel1,tblJueces[[#This Row],[Jueces]]) + COUNTIFS(JuecesPanel2,tblJueces[[#This Row],[Jueces]])</f>
        <v>1</v>
      </c>
      <c r="G17" t="str">
        <v>Maria F. Vasquez</v>
      </c>
      <c r="I17" t="s">
        <v>100</v>
      </c>
      <c r="J17">
        <v>3</v>
      </c>
      <c r="K17" t="s">
        <v>89</v>
      </c>
      <c r="L17" t="s">
        <v>22</v>
      </c>
      <c r="M17">
        <v>363</v>
      </c>
      <c r="N17" s="76">
        <v>1.5</v>
      </c>
    </row>
    <row r="18" spans="1:19" x14ac:dyDescent="0.3">
      <c r="C18" s="14"/>
      <c r="D18" t="s">
        <v>59</v>
      </c>
      <c r="E18">
        <f>COUNTIFS(JuecesPanel1,tblJueces[[#This Row],[Jueces]]) + COUNTIFS(JuecesPanel2,tblJueces[[#This Row],[Jueces]])</f>
        <v>0</v>
      </c>
      <c r="F18" s="74"/>
      <c r="G18" s="82" t="str">
        <v>Mery Gómez</v>
      </c>
      <c r="H18" s="74"/>
      <c r="I18" t="s">
        <v>102</v>
      </c>
      <c r="J18">
        <v>0</v>
      </c>
      <c r="K18" t="s">
        <v>96</v>
      </c>
      <c r="L18" s="7" t="s">
        <v>111</v>
      </c>
      <c r="M18" s="7">
        <v>423</v>
      </c>
      <c r="N18" s="75">
        <v>2.2000000000000002</v>
      </c>
      <c r="O18" s="74"/>
      <c r="P18" s="74"/>
      <c r="Q18" s="74"/>
      <c r="R18" s="74"/>
      <c r="S18" s="74"/>
    </row>
    <row r="19" spans="1:19" x14ac:dyDescent="0.3">
      <c r="D19" t="s">
        <v>60</v>
      </c>
      <c r="E19">
        <f>COUNTIFS(JuecesPanel1,tblJueces[[#This Row],[Jueces]]) + COUNTIFS(JuecesPanel2,tblJueces[[#This Row],[Jueces]])</f>
        <v>0</v>
      </c>
      <c r="G19" t="str">
        <v>Oscar Sierra</v>
      </c>
      <c r="I19" t="s">
        <v>102</v>
      </c>
      <c r="J19">
        <v>0</v>
      </c>
      <c r="K19" t="s">
        <v>95</v>
      </c>
      <c r="L19" s="7" t="s">
        <v>112</v>
      </c>
      <c r="M19" s="7">
        <v>143</v>
      </c>
      <c r="N19" s="75">
        <v>3.1</v>
      </c>
    </row>
    <row r="20" spans="1:19" x14ac:dyDescent="0.3">
      <c r="D20" t="s">
        <v>61</v>
      </c>
      <c r="E20">
        <f>COUNTIFS(JuecesPanel1,tblJueces[[#This Row],[Jueces]]) + COUNTIFS(JuecesPanel2,tblJueces[[#This Row],[Jueces]])</f>
        <v>1</v>
      </c>
      <c r="G20" t="str">
        <v>Sarita Percy V.</v>
      </c>
      <c r="I20" t="s">
        <v>102</v>
      </c>
      <c r="J20">
        <v>1</v>
      </c>
      <c r="K20" t="s">
        <v>79</v>
      </c>
      <c r="L20" s="7" t="s">
        <v>103</v>
      </c>
      <c r="M20" s="7">
        <v>351</v>
      </c>
      <c r="N20" s="75">
        <v>2.8</v>
      </c>
    </row>
    <row r="21" spans="1:19" x14ac:dyDescent="0.3">
      <c r="D21" t="s">
        <v>62</v>
      </c>
      <c r="E21">
        <f>COUNTIFS(JuecesPanel1,tblJueces[[#This Row],[Jueces]]) + COUNTIFS(JuecesPanel2,tblJueces[[#This Row],[Jueces]])</f>
        <v>0</v>
      </c>
      <c r="G21" t="str">
        <v>Calculado</v>
      </c>
      <c r="I21" t="s">
        <v>102</v>
      </c>
      <c r="J21">
        <v>1</v>
      </c>
      <c r="K21" t="s">
        <v>80</v>
      </c>
      <c r="L21" s="7" t="s">
        <v>108</v>
      </c>
      <c r="M21" s="7">
        <v>437</v>
      </c>
      <c r="N21" s="75">
        <v>2.1</v>
      </c>
    </row>
    <row r="22" spans="1:19" x14ac:dyDescent="0.3">
      <c r="D22" t="s">
        <v>63</v>
      </c>
      <c r="E22">
        <f>COUNTIFS(JuecesPanel1,tblJueces[[#This Row],[Jueces]]) + COUNTIFS(JuecesPanel2,tblJueces[[#This Row],[Jueces]])</f>
        <v>0</v>
      </c>
      <c r="G22" t="str">
        <v>N.A.</v>
      </c>
      <c r="I22" t="s">
        <v>102</v>
      </c>
      <c r="J22">
        <v>2</v>
      </c>
      <c r="K22" t="s">
        <v>87</v>
      </c>
      <c r="L22" s="7" t="s">
        <v>104</v>
      </c>
      <c r="M22" s="7" t="s">
        <v>105</v>
      </c>
      <c r="N22" s="75">
        <v>2.2000000000000002</v>
      </c>
    </row>
    <row r="23" spans="1:19" x14ac:dyDescent="0.3">
      <c r="D23" t="s">
        <v>51</v>
      </c>
      <c r="E23">
        <f>COUNTIFS(JuecesPanel1,tblJueces[[#This Row],[Jueces]]) + COUNTIFS(JuecesPanel2,tblJueces[[#This Row],[Jueces]])</f>
        <v>0</v>
      </c>
      <c r="I23" t="s">
        <v>102</v>
      </c>
      <c r="J23">
        <v>2</v>
      </c>
      <c r="K23" t="s">
        <v>90</v>
      </c>
      <c r="L23" s="7" t="s">
        <v>109</v>
      </c>
      <c r="M23" s="7">
        <v>403</v>
      </c>
      <c r="N23" s="75">
        <v>2.2999999999999998</v>
      </c>
    </row>
    <row r="24" spans="1:19" x14ac:dyDescent="0.3">
      <c r="D24" t="s">
        <v>64</v>
      </c>
      <c r="E24">
        <f>COUNTIFS(JuecesPanel1,tblJueces[[#This Row],[Jueces]]) + COUNTIFS(JuecesPanel2,tblJueces[[#This Row],[Jueces]])</f>
        <v>0</v>
      </c>
      <c r="I24" t="s">
        <v>102</v>
      </c>
      <c r="J24">
        <v>3</v>
      </c>
      <c r="K24" t="s">
        <v>88</v>
      </c>
      <c r="L24" s="7" t="s">
        <v>106</v>
      </c>
      <c r="M24" s="7" t="s">
        <v>107</v>
      </c>
      <c r="N24" s="75">
        <v>2.1</v>
      </c>
    </row>
    <row r="25" spans="1:19" x14ac:dyDescent="0.3">
      <c r="D25" t="s">
        <v>117</v>
      </c>
      <c r="E25" s="15">
        <f>COUNTIFS(JuecesPanel1,tblJueces[[#This Row],[Jueces]]) + COUNTIFS(JuecesPanel2,tblJueces[[#This Row],[Jueces]])</f>
        <v>1</v>
      </c>
      <c r="I25" t="s">
        <v>102</v>
      </c>
      <c r="J25">
        <v>3</v>
      </c>
      <c r="K25" t="s">
        <v>89</v>
      </c>
      <c r="L25" s="7" t="s">
        <v>110</v>
      </c>
      <c r="M25" s="7">
        <v>315</v>
      </c>
      <c r="N25" s="75">
        <v>2.1</v>
      </c>
    </row>
    <row r="26" spans="1:19" x14ac:dyDescent="0.3">
      <c r="D26" t="s">
        <v>54</v>
      </c>
      <c r="E26">
        <v>0</v>
      </c>
    </row>
    <row r="27" spans="1:19" x14ac:dyDescent="0.3">
      <c r="D27" t="s">
        <v>42</v>
      </c>
      <c r="E27">
        <v>0</v>
      </c>
    </row>
    <row r="28" spans="1:19" x14ac:dyDescent="0.3">
      <c r="I28" s="205"/>
      <c r="J28" s="205"/>
      <c r="K28" s="205"/>
      <c r="L28" s="205"/>
      <c r="M28" s="205"/>
      <c r="N28" s="205"/>
      <c r="O28" s="205"/>
      <c r="P28" s="205"/>
      <c r="Q28" s="205"/>
    </row>
    <row r="29" spans="1:19" x14ac:dyDescent="0.3">
      <c r="I29" s="13"/>
      <c r="J29" s="13"/>
      <c r="K29" s="119"/>
      <c r="L29" s="13"/>
      <c r="M29" s="13"/>
      <c r="N29" s="119"/>
      <c r="O29" s="13"/>
      <c r="P29" s="13"/>
      <c r="Q29" s="119"/>
    </row>
    <row r="30" spans="1:19" x14ac:dyDescent="0.3">
      <c r="I30" s="13"/>
      <c r="J30" s="13"/>
      <c r="K30" s="120"/>
      <c r="L30" s="13"/>
      <c r="M30" s="13"/>
      <c r="N30" s="119"/>
      <c r="O30" s="13"/>
      <c r="P30" s="13"/>
      <c r="Q30" s="119"/>
    </row>
    <row r="31" spans="1:19" x14ac:dyDescent="0.3">
      <c r="I31" s="13"/>
      <c r="J31" s="13"/>
      <c r="K31" s="13"/>
      <c r="L31" s="13"/>
      <c r="M31" s="13"/>
      <c r="N31" s="13"/>
      <c r="O31" s="13"/>
      <c r="P31" s="13"/>
      <c r="Q31" s="13"/>
    </row>
    <row r="32" spans="1:19" x14ac:dyDescent="0.3">
      <c r="I32" s="121"/>
      <c r="J32" s="13"/>
      <c r="K32" s="121"/>
      <c r="L32" s="122"/>
      <c r="M32" s="123"/>
      <c r="N32" s="13"/>
      <c r="O32" s="13"/>
      <c r="P32" s="13"/>
      <c r="Q32" s="13"/>
    </row>
    <row r="33" spans="3:19" x14ac:dyDescent="0.3">
      <c r="C33" s="15"/>
      <c r="F33" s="15"/>
      <c r="G33" s="15"/>
      <c r="H33" s="15"/>
      <c r="I33" s="121"/>
      <c r="J33" s="13"/>
      <c r="K33" s="121"/>
      <c r="L33" s="122"/>
      <c r="M33" s="123"/>
      <c r="N33" s="13"/>
      <c r="O33" s="124"/>
      <c r="P33" s="124"/>
      <c r="Q33" s="124"/>
      <c r="R33" s="15"/>
      <c r="S33" s="15"/>
    </row>
    <row r="35" spans="3:19" x14ac:dyDescent="0.3">
      <c r="D35" s="15"/>
      <c r="E35" s="15"/>
      <c r="J35" s="15"/>
      <c r="K35" s="15"/>
      <c r="L35" s="15"/>
      <c r="M35" s="15"/>
      <c r="N35" s="15"/>
    </row>
  </sheetData>
  <mergeCells count="4">
    <mergeCell ref="M5:N5"/>
    <mergeCell ref="I28:K28"/>
    <mergeCell ref="L28:N28"/>
    <mergeCell ref="O28:Q28"/>
  </mergeCells>
  <phoneticPr fontId="25" type="noConversion"/>
  <dataValidations count="2">
    <dataValidation type="list" allowBlank="1" showInputMessage="1" showErrorMessage="1" sqref="M5" xr:uid="{16D62DCE-FA0C-4BBD-8760-05DAF68DFAF7}">
      <formula1>"Infantil,Juvenil"</formula1>
    </dataValidation>
    <dataValidation type="list" allowBlank="1" showInputMessage="1" showErrorMessage="1" sqref="N7" xr:uid="{4035B76A-4BD0-41A4-A4E0-1D1665419055}">
      <formula1>"1,2,3"</formula1>
    </dataValidation>
  </dataValidations>
  <pageMargins left="0.7" right="0.7" top="0.75" bottom="0.75" header="0.3" footer="0.3"/>
  <pageSetup paperSize="9" scale="74" fitToHeight="0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T37"/>
  <sheetViews>
    <sheetView workbookViewId="0">
      <selection activeCell="E14" sqref="E14"/>
    </sheetView>
  </sheetViews>
  <sheetFormatPr baseColWidth="10" defaultColWidth="0" defaultRowHeight="14.4" zeroHeight="1" x14ac:dyDescent="0.3"/>
  <cols>
    <col min="1" max="1" width="8.109375" customWidth="1"/>
    <col min="2" max="2" width="7" customWidth="1"/>
    <col min="3" max="3" width="36" customWidth="1"/>
    <col min="4" max="4" width="27.109375" customWidth="1"/>
    <col min="5" max="5" width="6.44140625" customWidth="1"/>
    <col min="6" max="12" width="4.6640625" customWidth="1"/>
    <col min="13" max="14" width="4.6640625" hidden="1" customWidth="1"/>
    <col min="15" max="15" width="5.44140625" hidden="1" customWidth="1"/>
    <col min="16" max="16" width="8.88671875" hidden="1" customWidth="1"/>
    <col min="17" max="17" width="3.6640625" customWidth="1"/>
    <col min="18" max="18" width="7.109375" hidden="1" customWidth="1"/>
    <col min="19" max="19" width="9" customWidth="1"/>
    <col min="20" max="20" width="11.44140625" customWidth="1"/>
    <col min="21" max="16384" width="11.44140625" hidden="1"/>
  </cols>
  <sheetData>
    <row r="1" spans="2:19" x14ac:dyDescent="0.3"/>
    <row r="2" spans="2:19" ht="41.4" x14ac:dyDescent="0.3">
      <c r="B2" s="89" t="s">
        <v>77</v>
      </c>
      <c r="C2" s="89" t="s">
        <v>14</v>
      </c>
      <c r="D2" s="89" t="s">
        <v>0</v>
      </c>
      <c r="E2" s="89" t="s">
        <v>32</v>
      </c>
      <c r="F2" s="137">
        <v>1</v>
      </c>
      <c r="G2" s="137">
        <v>2</v>
      </c>
      <c r="H2" s="137">
        <v>3</v>
      </c>
      <c r="I2" s="137">
        <v>4</v>
      </c>
      <c r="J2" s="137">
        <v>5</v>
      </c>
      <c r="K2" s="137">
        <v>6</v>
      </c>
      <c r="L2" s="137">
        <v>7</v>
      </c>
      <c r="M2" s="91" t="s">
        <v>1</v>
      </c>
      <c r="N2" s="91" t="s">
        <v>2</v>
      </c>
      <c r="O2" s="92" t="s">
        <v>76</v>
      </c>
      <c r="P2" s="93" t="s">
        <v>75</v>
      </c>
      <c r="Q2" s="91" t="s">
        <v>8</v>
      </c>
      <c r="R2" s="94" t="s">
        <v>3</v>
      </c>
      <c r="S2" s="95" t="s">
        <v>4</v>
      </c>
    </row>
    <row r="3" spans="2:19" x14ac:dyDescent="0.3"/>
    <row r="4" spans="2:19" x14ac:dyDescent="0.3">
      <c r="B4" s="27"/>
      <c r="C4" s="27" t="s">
        <v>98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2:19" x14ac:dyDescent="0.3">
      <c r="B5" s="96" t="s">
        <v>5</v>
      </c>
      <c r="C5" s="104" t="s">
        <v>6</v>
      </c>
      <c r="D5" s="103" t="s">
        <v>7</v>
      </c>
      <c r="E5" s="89">
        <f>Obligatoria1Cod</f>
        <v>106</v>
      </c>
      <c r="F5" s="112"/>
      <c r="G5" s="98"/>
      <c r="H5" s="98" t="str">
        <f>IF(JuecesPanel&gt;=3,"",IF((JuecesPanel+JuecesCalc)&lt;3,"",IF(COUNT(F5:G5)&gt;0,AVERAGE(F5:G5),"")))</f>
        <v/>
      </c>
      <c r="I5" s="98" t="str">
        <f>IF(JuecesPanel&gt;=4,"",IF((JuecesPanel+JuecesCalc)&lt;4,"",IF(COUNT(F5:H5)&gt;0,AVERAGE(F5:H5),"")))</f>
        <v/>
      </c>
      <c r="J5" s="98" t="str">
        <f>IF(JuecesPanel&gt;=5,"",IF((JuecesPanel+JuecesCalc)&lt;5,"",IF(COUNT(F5:I5)&gt;0,AVERAGE(F5:I5),"")))</f>
        <v/>
      </c>
      <c r="K5" s="98" t="str">
        <f>IF(JuecesPanel&gt;=6,"",IF((JuecesPanel+JuecesCalc)&lt;6,"",IF(COUNT(F5:J5)&gt;0,AVERAGE(F5:J5),"")))</f>
        <v/>
      </c>
      <c r="L5" s="98" t="str">
        <f>IF(JuecesPanel&gt;=7,"",IF((JuecesPanel+JuecesCalc)&lt;7,"",IF(COUNT(F5:K5)&gt;0,AVERAGE(F5:K5),"")))</f>
        <v/>
      </c>
      <c r="M5" s="97" t="str">
        <f>IF(COUNT(F5:L5)&gt;4,MAX(F5:L5),"")</f>
        <v/>
      </c>
      <c r="N5" s="97" t="str">
        <f>IF(COUNT(F5:L5)&gt;4,MIN(F5:L5),"")</f>
        <v/>
      </c>
      <c r="O5" s="105" t="str">
        <f>IF(COUNT(F5:L5)&gt;0,(SUM(F5:L5)-( SUM(M5:N5)  ))/(IF(COUNT(F5:L5)&gt;4,COUNT(F5:L5)-2,COUNT(F5:L5))),"")</f>
        <v/>
      </c>
      <c r="P5" s="138" t="str">
        <f>IF(COUNT(F5:L5)&gt;0,O5*Obligatoria1GD,"")</f>
        <v/>
      </c>
      <c r="Q5" s="144"/>
      <c r="R5" s="141" t="str">
        <f>IF(COUNT(F5:L8)&gt;0,SUM(P5:P8),"")</f>
        <v/>
      </c>
      <c r="S5" s="106">
        <f>IF(COUNT(F5:L8)&gt;0,((R5/TotalGD)*10)-SUM(Q5:Q8),0)</f>
        <v>0</v>
      </c>
    </row>
    <row r="6" spans="2:19" x14ac:dyDescent="0.3">
      <c r="B6" s="87"/>
      <c r="C6" s="86"/>
      <c r="D6" s="87"/>
      <c r="E6" s="89">
        <f>Obligatoria2Cod</f>
        <v>301</v>
      </c>
      <c r="F6" s="101"/>
      <c r="G6" s="25"/>
      <c r="H6" s="25" t="str">
        <f>IF(JuecesPanel&gt;=3,"",IF((JuecesPanel+JuecesCalc)&lt;3,"",IF(COUNT(F6:G6)&gt;0,AVERAGE(F6:G6),"")))</f>
        <v/>
      </c>
      <c r="I6" s="25" t="str">
        <f>IF(JuecesPanel&gt;=4,"",IF((JuecesPanel+JuecesCalc)&lt;4,"",IF(COUNT(F6:H6)&gt;0,AVERAGE(F6:H6),"")))</f>
        <v/>
      </c>
      <c r="J6" s="25" t="str">
        <f>IF(JuecesPanel&gt;=5,"",IF((JuecesPanel+JuecesCalc)&lt;5,"",IF(COUNT(F6:I6)&gt;0,AVERAGE(F6:I6),"")))</f>
        <v/>
      </c>
      <c r="K6" s="25" t="str">
        <f>IF(JuecesPanel&gt;=6,"",IF((JuecesPanel+JuecesCalc)&lt;6,"",IF(COUNT(F6:J6)&gt;0,AVERAGE(F6:J6),"")))</f>
        <v/>
      </c>
      <c r="L6" s="25" t="str">
        <f>IF(JuecesPanel&gt;=7,"",IF((JuecesPanel+JuecesCalc)&lt;7,"",IF(COUNT(F6:K6)&gt;0,AVERAGE(F6:K6),"")))</f>
        <v/>
      </c>
      <c r="M6" s="25" t="str">
        <f>IF(COUNT(F6:L6)&gt;4,MAX(F6:L6),"")</f>
        <v/>
      </c>
      <c r="N6" s="25" t="str">
        <f>IF(COUNT(F6:L6)&gt;4,MIN(F6:L6),"")</f>
        <v/>
      </c>
      <c r="O6" s="88" t="str">
        <f>IF(COUNT(F6:L6)&gt;0,(SUM(F6:L6)-( SUM(M6:N6)  ))/(IF(COUNT(F6:L6)&gt;4,COUNT(F6:L6)-2,COUNT(F6:L6))),"")</f>
        <v/>
      </c>
      <c r="P6" s="139" t="str">
        <f>IF(COUNT(F6:L6)&gt;0,O6*Obligatoria2GD,"")</f>
        <v/>
      </c>
      <c r="Q6" s="145"/>
      <c r="R6" s="142"/>
      <c r="S6" s="107"/>
    </row>
    <row r="7" spans="2:19" x14ac:dyDescent="0.3">
      <c r="B7" s="87"/>
      <c r="C7" s="86"/>
      <c r="D7" s="87"/>
      <c r="E7" s="89">
        <f>Opcional1Cod</f>
        <v>420</v>
      </c>
      <c r="F7" s="113"/>
      <c r="G7" s="26"/>
      <c r="H7" s="26" t="str">
        <f>IF(JuecesPanel&gt;=3,"",IF((JuecesPanel+JuecesCalc)&lt;3,"",IF(COUNT(F7:G7)&gt;0,AVERAGE(F7:G7),"")))</f>
        <v/>
      </c>
      <c r="I7" s="26" t="str">
        <f>IF(JuecesPanel&gt;=4,"",IF((JuecesPanel+JuecesCalc)&lt;4,"",IF(COUNT(F7:H7)&gt;0,AVERAGE(F7:H7),"")))</f>
        <v/>
      </c>
      <c r="J7" s="26" t="str">
        <f>IF(JuecesPanel&gt;=5,"",IF((JuecesPanel+JuecesCalc)&lt;5,"",IF(COUNT(F7:I7)&gt;0,AVERAGE(F7:I7),"")))</f>
        <v/>
      </c>
      <c r="K7" s="26" t="str">
        <f>IF(JuecesPanel&gt;=6,"",IF((JuecesPanel+JuecesCalc)&lt;6,"",IF(COUNT(F7:J7)&gt;0,AVERAGE(F7:J7),"")))</f>
        <v/>
      </c>
      <c r="L7" s="26" t="str">
        <f>IF(JuecesPanel&gt;=7,"",IF((JuecesPanel+JuecesCalc)&lt;7,"",IF(COUNT(F7:K7)&gt;0,AVERAGE(F7:K7),"")))</f>
        <v/>
      </c>
      <c r="M7" s="25" t="str">
        <f>IF(COUNT(F7:L7)&gt;4,MAX(F7:L7),"")</f>
        <v/>
      </c>
      <c r="N7" s="25" t="str">
        <f>IF(COUNT(F7:L7)&gt;4,MIN(F7:L7),"")</f>
        <v/>
      </c>
      <c r="O7" s="88" t="str">
        <f>IF(COUNT(F7:L7)&gt;0,(SUM(F7:L7)-( SUM(M7:N7)  ))/(IF(COUNT(F7:L7)&gt;4,COUNT(F7:L7)-2,COUNT(F7:L7))),"")</f>
        <v/>
      </c>
      <c r="P7" s="139" t="str">
        <f>IF(COUNT(F7:L7)&gt;0,O7*Opcional1GD,"")</f>
        <v/>
      </c>
      <c r="Q7" s="145"/>
      <c r="R7" s="142"/>
      <c r="S7" s="107"/>
    </row>
    <row r="8" spans="2:19" x14ac:dyDescent="0.3">
      <c r="B8" s="108"/>
      <c r="C8" s="109"/>
      <c r="D8" s="108"/>
      <c r="E8" s="89">
        <f>Opcional2Cod</f>
        <v>327</v>
      </c>
      <c r="F8" s="102"/>
      <c r="G8" s="99"/>
      <c r="H8" s="99" t="str">
        <f>IF(JuecesPanel&gt;=3,"",IF((JuecesPanel+JuecesCalc)&lt;3,"",IF(COUNT(F8:G8)&gt;0,AVERAGE(F8:G8),"")))</f>
        <v/>
      </c>
      <c r="I8" s="99" t="str">
        <f>IF(JuecesPanel&gt;=4,"",IF((JuecesPanel+JuecesCalc)&lt;4,"",IF(COUNT(F8:H8)&gt;0,AVERAGE(F8:H8),"")))</f>
        <v/>
      </c>
      <c r="J8" s="99" t="str">
        <f>IF(JuecesPanel&gt;=5,"",IF((JuecesPanel+JuecesCalc)&lt;5,"",IF(COUNT(F8:I8)&gt;0,AVERAGE(F8:I8),"")))</f>
        <v/>
      </c>
      <c r="K8" s="99" t="str">
        <f>IF(JuecesPanel&gt;=6,"",IF((JuecesPanel+JuecesCalc)&lt;6,"",IF(COUNT(F8:J8)&gt;0,AVERAGE(F8:J8),"")))</f>
        <v/>
      </c>
      <c r="L8" s="99" t="str">
        <f>IF(JuecesPanel&gt;=7,"",IF((JuecesPanel+JuecesCalc)&lt;7,"",IF(COUNT(F8:K8)&gt;0,AVERAGE(F8:K8),"")))</f>
        <v/>
      </c>
      <c r="M8" s="99" t="str">
        <f>IF(COUNT(F8:L8)&gt;4,MAX(F8:L8),"")</f>
        <v/>
      </c>
      <c r="N8" s="99" t="str">
        <f>IF(COUNT(F8:L8)&gt;4,MIN(F8:L8),"")</f>
        <v/>
      </c>
      <c r="O8" s="110" t="str">
        <f>IF(COUNT(F8:L8)&gt;0,(SUM(F8:L8)-( SUM(M8:N8)  ))/(IF(COUNT(F8:L8)&gt;4,COUNT(F8:L8)-2,COUNT(F8:L8))),"")</f>
        <v/>
      </c>
      <c r="P8" s="140" t="str">
        <f>IF(COUNT(F8:L8)&gt;0,O8*Opcional2GD,"")</f>
        <v/>
      </c>
      <c r="Q8" s="146"/>
      <c r="R8" s="143"/>
      <c r="S8" s="111"/>
    </row>
    <row r="9" spans="2:19" x14ac:dyDescent="0.3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B11" s="13"/>
      <c r="C11" s="13" t="s">
        <v>82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</row>
    <row r="12" spans="2:19" x14ac:dyDescent="0.3">
      <c r="B12" s="96" t="s">
        <v>5</v>
      </c>
      <c r="C12" s="104" t="s">
        <v>6</v>
      </c>
      <c r="D12" s="103" t="s">
        <v>7</v>
      </c>
      <c r="E12" s="89">
        <f>Obligatoria1Cod</f>
        <v>106</v>
      </c>
      <c r="F12" s="100"/>
      <c r="G12" s="97"/>
      <c r="H12" s="97" t="str">
        <f>IF(JuecesPanel&gt;=3,"",IF((JuecesPanel+JuecesCalc)&lt;3,"",IF(COUNT(F12:G12)&gt;0,AVERAGE(F12:G12),"")))</f>
        <v/>
      </c>
      <c r="I12" s="97" t="str">
        <f>IF(JuecesPanel&gt;=4,"",IF((JuecesPanel+JuecesCalc)&lt;4,"",IF(COUNT(F12:H12)&gt;0,AVERAGE(F12:H12),"")))</f>
        <v/>
      </c>
      <c r="J12" s="97" t="str">
        <f>IF(JuecesPanel&gt;=5,"",IF((JuecesPanel+JuecesCalc)&lt;5,"",IF(COUNT(F12:I12)&gt;0,AVERAGE(F12:I12),"")))</f>
        <v/>
      </c>
      <c r="K12" s="97" t="str">
        <f>IF(JuecesPanel&gt;=6,"",IF((JuecesPanel+JuecesCalc)&lt;6,"",IF(COUNT(F12:J12)&gt;0,AVERAGE(F12:J12),"")))</f>
        <v/>
      </c>
      <c r="L12" s="97" t="str">
        <f>IF(JuecesPanel&gt;=7,"",IF((JuecesPanel+JuecesCalc)&lt;7,"",IF(COUNT(F12:K12)&gt;0,AVERAGE(F12:K12),"")))</f>
        <v/>
      </c>
      <c r="M12" s="97" t="str">
        <f>IF(COUNT(F12:L12)&gt;4,MAX(F12:L12),"")</f>
        <v/>
      </c>
      <c r="N12" s="97" t="str">
        <f>IF(COUNT(F12:L12)&gt;4,MIN(F12:L12),"")</f>
        <v/>
      </c>
      <c r="O12" s="105" t="str">
        <f>IF(COUNT(F12:L12)&gt;0,(SUM(F12:L12)-( SUM(M12:N12)  ))/(IF(COUNT(F12:L12)&gt;4,COUNT(F12:L12)-2,COUNT(F12:L12))),"")</f>
        <v/>
      </c>
      <c r="P12" s="138" t="str">
        <f>IF(COUNT(F12:L12)&gt;0,O12*Obligatoria1GD,"")</f>
        <v/>
      </c>
      <c r="Q12" s="144"/>
      <c r="R12" s="141" t="str">
        <f>IF(COUNT(F12:L15)&gt;0,SUM(P12:P15),"")</f>
        <v/>
      </c>
      <c r="S12" s="106">
        <f>IF(COUNT(F12:L15)&gt;0,((R12/TotalGD)*10)-SUM(Q12:Q15),0)</f>
        <v>0</v>
      </c>
    </row>
    <row r="13" spans="2:19" x14ac:dyDescent="0.3">
      <c r="B13" s="87"/>
      <c r="C13" s="86"/>
      <c r="D13" s="87"/>
      <c r="E13" s="89">
        <f>Obligatoria2Cod</f>
        <v>301</v>
      </c>
      <c r="F13" s="101"/>
      <c r="G13" s="25"/>
      <c r="H13" s="25" t="str">
        <f>IF(JuecesPanel&gt;=3,"",IF((JuecesPanel+JuecesCalc)&lt;3,"",IF(COUNT(F13:G13)&gt;0,AVERAGE(F13:G13),"")))</f>
        <v/>
      </c>
      <c r="I13" s="25" t="str">
        <f>IF(JuecesPanel&gt;=4,"",IF((JuecesPanel+JuecesCalc)&lt;4,"",IF(COUNT(F13:H13)&gt;0,AVERAGE(F13:H13),"")))</f>
        <v/>
      </c>
      <c r="J13" s="25" t="str">
        <f>IF(JuecesPanel&gt;=5,"",IF((JuecesPanel+JuecesCalc)&lt;5,"",IF(COUNT(F13:I13)&gt;0,AVERAGE(F13:I13),"")))</f>
        <v/>
      </c>
      <c r="K13" s="25" t="str">
        <f>IF(JuecesPanel&gt;=6,"",IF((JuecesPanel+JuecesCalc)&lt;6,"",IF(COUNT(F13:J13)&gt;0,AVERAGE(F13:J13),"")))</f>
        <v/>
      </c>
      <c r="L13" s="25" t="str">
        <f>IF(JuecesPanel&gt;=7,"",IF((JuecesPanel+JuecesCalc)&lt;7,"",IF(COUNT(F13:K13)&gt;0,AVERAGE(F13:K13),"")))</f>
        <v/>
      </c>
      <c r="M13" s="25" t="str">
        <f>IF(COUNT(F13:L13)&gt;4,MAX(F13:L13),"")</f>
        <v/>
      </c>
      <c r="N13" s="25" t="str">
        <f>IF(COUNT(F13:L13)&gt;4,MIN(F13:L13),"")</f>
        <v/>
      </c>
      <c r="O13" s="88" t="str">
        <f>IF(COUNT(F13:L13)&gt;0,(SUM(F13:L13)-( SUM(M13:N13)  ))/(IF(COUNT(F13:L13)&gt;4,COUNT(F13:L13)-2,COUNT(F13:L13))),"")</f>
        <v/>
      </c>
      <c r="P13" s="139" t="str">
        <f>IF(COUNT(F13:L13)&gt;0,O13*Obligatoria2GD,"")</f>
        <v/>
      </c>
      <c r="Q13" s="145"/>
      <c r="R13" s="142"/>
      <c r="S13" s="107"/>
    </row>
    <row r="14" spans="2:19" x14ac:dyDescent="0.3">
      <c r="B14" s="87"/>
      <c r="C14" s="86"/>
      <c r="D14" s="87"/>
      <c r="E14" s="89">
        <f>Opcional1Cod</f>
        <v>420</v>
      </c>
      <c r="F14" s="101"/>
      <c r="G14" s="25"/>
      <c r="H14" s="25" t="str">
        <f>IF(JuecesPanel&gt;=3,"",IF((JuecesPanel+JuecesCalc)&lt;3,"",IF(COUNT(F14:G14)&gt;0,AVERAGE(F14:G14),"")))</f>
        <v/>
      </c>
      <c r="I14" s="25" t="str">
        <f>IF(JuecesPanel&gt;=4,"",IF((JuecesPanel+JuecesCalc)&lt;4,"",IF(COUNT(F14:H14)&gt;0,AVERAGE(F14:H14),"")))</f>
        <v/>
      </c>
      <c r="J14" s="25" t="str">
        <f>IF(JuecesPanel&gt;=5,"",IF((JuecesPanel+JuecesCalc)&lt;5,"",IF(COUNT(F14:I14)&gt;0,AVERAGE(F14:I14),"")))</f>
        <v/>
      </c>
      <c r="K14" s="25" t="str">
        <f>IF(JuecesPanel&gt;=6,"",IF((JuecesPanel+JuecesCalc)&lt;6,"",IF(COUNT(F14:J14)&gt;0,AVERAGE(F14:J14),"")))</f>
        <v/>
      </c>
      <c r="L14" s="25" t="str">
        <f>IF(JuecesPanel&gt;=7,"",IF((JuecesPanel+JuecesCalc)&lt;7,"",IF(COUNT(F14:K14)&gt;0,AVERAGE(F14:K14),"")))</f>
        <v/>
      </c>
      <c r="M14" s="25" t="str">
        <f>IF(COUNT(F14:L14)&gt;4,MAX(F14:L14),"")</f>
        <v/>
      </c>
      <c r="N14" s="25" t="str">
        <f>IF(COUNT(F14:L14)&gt;4,MIN(F14:L14),"")</f>
        <v/>
      </c>
      <c r="O14" s="88" t="str">
        <f>IF(COUNT(F14:L14)&gt;0,(SUM(F14:L14)-( SUM(M14:N14)  ))/(IF(COUNT(F14:L14)&gt;4,COUNT(F14:L14)-2,COUNT(F14:L14))),"")</f>
        <v/>
      </c>
      <c r="P14" s="139" t="str">
        <f>IF(COUNT(F14:L14)&gt;0,O14*Opcional1GD,"")</f>
        <v/>
      </c>
      <c r="Q14" s="145"/>
      <c r="R14" s="142"/>
      <c r="S14" s="107"/>
    </row>
    <row r="15" spans="2:19" x14ac:dyDescent="0.3">
      <c r="B15" s="108"/>
      <c r="C15" s="109"/>
      <c r="D15" s="108"/>
      <c r="E15" s="89">
        <f>Opcional2Cod</f>
        <v>327</v>
      </c>
      <c r="F15" s="102"/>
      <c r="G15" s="99"/>
      <c r="H15" s="99" t="str">
        <f>IF(JuecesPanel&gt;=3,"",IF((JuecesPanel+JuecesCalc)&lt;3,"",IF(COUNT(F15:G15)&gt;0,AVERAGE(F15:G15),"")))</f>
        <v/>
      </c>
      <c r="I15" s="99" t="str">
        <f>IF(JuecesPanel&gt;=4,"",IF((JuecesPanel+JuecesCalc)&lt;4,"",IF(COUNT(F15:H15)&gt;0,AVERAGE(F15:H15),"")))</f>
        <v/>
      </c>
      <c r="J15" s="99" t="str">
        <f>IF(JuecesPanel&gt;=5,"",IF((JuecesPanel+JuecesCalc)&lt;5,"",IF(COUNT(F15:I15)&gt;0,AVERAGE(F15:I15),"")))</f>
        <v/>
      </c>
      <c r="K15" s="99" t="str">
        <f>IF(JuecesPanel&gt;=6,"",IF((JuecesPanel+JuecesCalc)&lt;6,"",IF(COUNT(F15:J15)&gt;0,AVERAGE(F15:J15),"")))</f>
        <v/>
      </c>
      <c r="L15" s="99" t="str">
        <f>IF(JuecesPanel&gt;=7,"",IF((JuecesPanel+JuecesCalc)&lt;7,"",IF(COUNT(F15:K15)&gt;0,AVERAGE(F15:K15),"")))</f>
        <v/>
      </c>
      <c r="M15" s="99" t="str">
        <f>IF(COUNT(F15:L15)&gt;4,MAX(F15:L15),"")</f>
        <v/>
      </c>
      <c r="N15" s="99" t="str">
        <f>IF(COUNT(F15:L15)&gt;4,MIN(F15:L15),"")</f>
        <v/>
      </c>
      <c r="O15" s="110" t="str">
        <f>IF(COUNT(F15:L15)&gt;0,(SUM(F15:L15)-( SUM(M15:N15)  ))/(IF(COUNT(F15:L15)&gt;4,COUNT(F15:L15)-2,COUNT(F15:L15))),"")</f>
        <v/>
      </c>
      <c r="P15" s="140" t="str">
        <f>IF(COUNT(F15:L15)&gt;0,O15*Opcional2GD,"")</f>
        <v/>
      </c>
      <c r="Q15" s="146"/>
      <c r="R15" s="143"/>
      <c r="S15" s="111"/>
    </row>
    <row r="16" spans="2:19" x14ac:dyDescent="0.3"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2:19" x14ac:dyDescent="0.3"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2:19" x14ac:dyDescent="0.3">
      <c r="B18" s="27"/>
      <c r="C18" s="27" t="s">
        <v>83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2:19" x14ac:dyDescent="0.3">
      <c r="B19" s="147" t="s">
        <v>5</v>
      </c>
      <c r="C19" s="186" t="s">
        <v>6</v>
      </c>
      <c r="D19" s="187" t="s">
        <v>7</v>
      </c>
      <c r="E19" s="148" t="s">
        <v>113</v>
      </c>
      <c r="F19" s="149" t="s">
        <v>113</v>
      </c>
      <c r="G19" s="150" t="s">
        <v>113</v>
      </c>
      <c r="H19" s="150" t="s">
        <v>113</v>
      </c>
      <c r="I19" s="150" t="s">
        <v>113</v>
      </c>
      <c r="J19" s="150" t="s">
        <v>113</v>
      </c>
      <c r="K19" s="150" t="s">
        <v>113</v>
      </c>
      <c r="L19" s="151" t="s">
        <v>113</v>
      </c>
      <c r="M19" s="152" t="str">
        <f>IF(COUNT(F19:L19)&gt;4,MAX(F19:L19),"")</f>
        <v/>
      </c>
      <c r="N19" s="153" t="str">
        <f>IF(COUNT(F19:L19)&gt;4,MIN(F19:L19),"")</f>
        <v/>
      </c>
      <c r="O19" s="154" t="str">
        <f>IF(COUNT(F19:L19)&gt;0,(SUM(F19:L19)-( SUM(M19:N19)  ))/(IF(COUNT(F19:L19)&gt;4,COUNT(F19:L19)-2,COUNT(F19:L19))),"")</f>
        <v/>
      </c>
      <c r="P19" s="155" t="str">
        <f>IF(COUNT(F19:L19)&gt;0,O19*Obligatoria1GD,"")</f>
        <v/>
      </c>
      <c r="Q19" s="156"/>
      <c r="R19" s="157" t="str">
        <f>IF(COUNT(F19:L22)&gt;0,SUM(P19:P22),"")</f>
        <v/>
      </c>
      <c r="S19" s="158"/>
    </row>
    <row r="20" spans="2:19" x14ac:dyDescent="0.3">
      <c r="B20" s="159"/>
      <c r="C20" s="160"/>
      <c r="D20" s="161"/>
      <c r="E20" s="162" t="s">
        <v>113</v>
      </c>
      <c r="F20" s="163" t="s">
        <v>113</v>
      </c>
      <c r="G20" s="164" t="s">
        <v>113</v>
      </c>
      <c r="H20" s="164" t="s">
        <v>113</v>
      </c>
      <c r="I20" s="164" t="s">
        <v>113</v>
      </c>
      <c r="J20" s="164" t="s">
        <v>113</v>
      </c>
      <c r="K20" s="164" t="s">
        <v>113</v>
      </c>
      <c r="L20" s="165" t="s">
        <v>113</v>
      </c>
      <c r="M20" s="166" t="str">
        <f>IF(COUNT(F20:L20)&gt;4,MAX(F20:L20),"")</f>
        <v/>
      </c>
      <c r="N20" s="167" t="str">
        <f>IF(COUNT(F20:L20)&gt;4,MIN(F20:L20),"")</f>
        <v/>
      </c>
      <c r="O20" s="168" t="str">
        <f>IF(COUNT(F20:L20)&gt;0,(SUM(F20:L20)-( SUM(M20:N20)  ))/(IF(COUNT(F20:L20)&gt;4,COUNT(F20:L20)-2,COUNT(F20:L20))),"")</f>
        <v/>
      </c>
      <c r="P20" s="169" t="str">
        <f>IF(COUNT(F20:L20)&gt;0,O20*Obligatoria2GD,"")</f>
        <v/>
      </c>
      <c r="Q20" s="170"/>
      <c r="R20" s="171"/>
      <c r="S20" s="172"/>
    </row>
    <row r="21" spans="2:19" x14ac:dyDescent="0.3">
      <c r="B21" s="159"/>
      <c r="C21" s="160"/>
      <c r="D21" s="161"/>
      <c r="E21" s="162" t="s">
        <v>113</v>
      </c>
      <c r="F21" s="163" t="s">
        <v>113</v>
      </c>
      <c r="G21" s="164" t="s">
        <v>113</v>
      </c>
      <c r="H21" s="164" t="s">
        <v>113</v>
      </c>
      <c r="I21" s="164" t="s">
        <v>113</v>
      </c>
      <c r="J21" s="164" t="s">
        <v>113</v>
      </c>
      <c r="K21" s="164" t="s">
        <v>113</v>
      </c>
      <c r="L21" s="165" t="s">
        <v>113</v>
      </c>
      <c r="M21" s="166" t="str">
        <f>IF(COUNT(F21:L21)&gt;4,MAX(F21:L21),"")</f>
        <v/>
      </c>
      <c r="N21" s="167" t="str">
        <f>IF(COUNT(F21:L21)&gt;4,MIN(F21:L21),"")</f>
        <v/>
      </c>
      <c r="O21" s="168" t="str">
        <f>IF(COUNT(F21:L21)&gt;0,(SUM(F21:L21)-( SUM(M21:N21)  ))/(IF(COUNT(F21:L21)&gt;4,COUNT(F21:L21)-2,COUNT(F21:L21))),"")</f>
        <v/>
      </c>
      <c r="P21" s="169" t="str">
        <f>IF(COUNT(F21:L21)&gt;0,O21*Opcional1GD,"")</f>
        <v/>
      </c>
      <c r="Q21" s="170"/>
      <c r="R21" s="171"/>
      <c r="S21" s="172"/>
    </row>
    <row r="22" spans="2:19" x14ac:dyDescent="0.3">
      <c r="B22" s="173"/>
      <c r="C22" s="174"/>
      <c r="D22" s="175"/>
      <c r="E22" s="162" t="s">
        <v>113</v>
      </c>
      <c r="F22" s="176" t="s">
        <v>113</v>
      </c>
      <c r="G22" s="177" t="s">
        <v>113</v>
      </c>
      <c r="H22" s="177" t="s">
        <v>113</v>
      </c>
      <c r="I22" s="177" t="s">
        <v>113</v>
      </c>
      <c r="J22" s="177" t="s">
        <v>113</v>
      </c>
      <c r="K22" s="177" t="s">
        <v>113</v>
      </c>
      <c r="L22" s="178" t="s">
        <v>113</v>
      </c>
      <c r="M22" s="179" t="str">
        <f>IF(COUNT(F22:L22)&gt;4,MAX(F22:L22),"")</f>
        <v/>
      </c>
      <c r="N22" s="180" t="str">
        <f>IF(COUNT(F22:L22)&gt;4,MIN(F22:L22),"")</f>
        <v/>
      </c>
      <c r="O22" s="181" t="str">
        <f>IF(COUNT(F22:L22)&gt;0,(SUM(F22:L22)-( SUM(M22:N22)  ))/(IF(COUNT(F22:L22)&gt;4,COUNT(F22:L22)-2,COUNT(F22:L22))),"")</f>
        <v/>
      </c>
      <c r="P22" s="182" t="str">
        <f>IF(COUNT(F22:L22)&gt;0,O22*Opcional2GD,"")</f>
        <v/>
      </c>
      <c r="Q22" s="183"/>
      <c r="R22" s="184"/>
      <c r="S22" s="185"/>
    </row>
    <row r="23" spans="2:19" x14ac:dyDescent="0.3"/>
    <row r="24" spans="2:19" x14ac:dyDescent="0.3"/>
    <row r="25" spans="2:19" x14ac:dyDescent="0.3"/>
    <row r="26" spans="2:19" x14ac:dyDescent="0.3">
      <c r="C26" s="13"/>
    </row>
    <row r="27" spans="2:19" x14ac:dyDescent="0.3"/>
    <row r="28" spans="2:19" x14ac:dyDescent="0.3"/>
    <row r="29" spans="2:19" x14ac:dyDescent="0.3"/>
    <row r="30" spans="2:19" x14ac:dyDescent="0.3"/>
    <row r="31" spans="2:19" x14ac:dyDescent="0.3"/>
    <row r="32" spans="2:19" x14ac:dyDescent="0.3"/>
    <row r="33" x14ac:dyDescent="0.3"/>
    <row r="34" x14ac:dyDescent="0.3"/>
    <row r="35" x14ac:dyDescent="0.3"/>
    <row r="36" x14ac:dyDescent="0.3"/>
    <row r="37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53"/>
  <sheetViews>
    <sheetView showGridLines="0" zoomScale="90" zoomScaleNormal="90" workbookViewId="0">
      <selection activeCell="B4" sqref="B4"/>
    </sheetView>
  </sheetViews>
  <sheetFormatPr baseColWidth="10" defaultColWidth="0" defaultRowHeight="14.4" x14ac:dyDescent="0.3"/>
  <cols>
    <col min="1" max="1" width="2.109375" customWidth="1"/>
    <col min="2" max="2" width="6.88671875" customWidth="1"/>
    <col min="3" max="3" width="27.88671875" bestFit="1" customWidth="1"/>
    <col min="4" max="4" width="24.109375" bestFit="1" customWidth="1"/>
    <col min="5" max="5" width="15.88671875" style="14" hidden="1" customWidth="1"/>
    <col min="6" max="6" width="7.6640625" bestFit="1" customWidth="1"/>
    <col min="7" max="7" width="2.33203125" customWidth="1"/>
    <col min="8" max="8" width="7.5546875" customWidth="1"/>
    <col min="9" max="9" width="9.33203125" customWidth="1"/>
    <col min="10" max="10" width="8.109375" customWidth="1"/>
    <col min="11" max="11" width="8.33203125" customWidth="1"/>
    <col min="12" max="12" width="4.5546875" customWidth="1"/>
    <col min="13" max="13" width="3.88671875" customWidth="1"/>
    <col min="14" max="14" width="5.6640625" customWidth="1"/>
    <col min="15" max="15" width="3" customWidth="1"/>
    <col min="16" max="16" width="2.5546875" customWidth="1"/>
    <col min="17" max="17" width="10" hidden="1" customWidth="1"/>
    <col min="18" max="18" width="9.88671875" hidden="1" customWidth="1"/>
    <col min="19" max="19" width="4" hidden="1" customWidth="1"/>
    <col min="20" max="20" width="4.5546875" hidden="1" customWidth="1"/>
    <col min="21" max="21" width="17.44140625" hidden="1" customWidth="1"/>
    <col min="22" max="22" width="4" hidden="1" customWidth="1"/>
    <col min="23" max="23" width="4.5546875" hidden="1" customWidth="1"/>
    <col min="24" max="24" width="15.88671875" hidden="1" customWidth="1"/>
    <col min="25" max="25" width="4" hidden="1" customWidth="1"/>
    <col min="26" max="26" width="4.5546875" hidden="1" customWidth="1"/>
    <col min="27" max="16384" width="11.44140625" hidden="1"/>
  </cols>
  <sheetData>
    <row r="1" spans="1:18" ht="6" customHeight="1" x14ac:dyDescent="0.3"/>
    <row r="2" spans="1:18" ht="18.75" customHeight="1" x14ac:dyDescent="0.45">
      <c r="B2" s="213" t="str">
        <f>HeadLin2</f>
        <v>Festival infantil departamental Fase I</v>
      </c>
      <c r="C2" s="213"/>
      <c r="D2" s="213"/>
      <c r="E2" s="213"/>
      <c r="F2" s="213"/>
      <c r="G2" s="116"/>
      <c r="H2" s="116"/>
      <c r="I2" s="116"/>
      <c r="J2" s="116"/>
      <c r="K2" s="116"/>
      <c r="L2" s="116"/>
      <c r="M2" s="116"/>
      <c r="N2" s="116"/>
      <c r="O2" s="9"/>
    </row>
    <row r="3" spans="1:18" ht="17.25" customHeight="1" x14ac:dyDescent="0.45">
      <c r="B3" s="214" t="str">
        <f>HeadLin3</f>
        <v>Figuras - Categoría Infantil</v>
      </c>
      <c r="C3" s="214"/>
      <c r="D3" s="214"/>
      <c r="E3" s="214"/>
      <c r="F3" s="214"/>
      <c r="G3" s="117"/>
      <c r="H3" s="117"/>
      <c r="I3" s="117"/>
      <c r="J3" s="117"/>
      <c r="K3" s="117"/>
      <c r="L3" s="117"/>
      <c r="M3" s="117"/>
      <c r="N3" s="117"/>
      <c r="O3" s="10"/>
    </row>
    <row r="4" spans="1:18" ht="15" customHeight="1" x14ac:dyDescent="0.45">
      <c r="B4" s="5"/>
      <c r="C4" s="5"/>
      <c r="D4" s="5"/>
      <c r="E4" s="16"/>
      <c r="F4" s="5"/>
      <c r="G4" s="5"/>
      <c r="H4" s="5"/>
      <c r="I4" s="10"/>
      <c r="J4" s="5"/>
      <c r="K4" s="10"/>
      <c r="L4" s="5"/>
      <c r="M4" s="5"/>
      <c r="N4" s="5"/>
      <c r="O4" s="10"/>
    </row>
    <row r="5" spans="1:18" ht="17.25" customHeight="1" x14ac:dyDescent="0.45">
      <c r="B5" s="40" t="str">
        <f>"Total  inscripciones: " &amp; COUNTA(tblDeportistas[Deportista])</f>
        <v>Total  inscripciones: 47</v>
      </c>
      <c r="E5" s="17"/>
      <c r="F5" s="4"/>
      <c r="G5" s="4"/>
      <c r="H5" s="4"/>
      <c r="I5" s="4"/>
      <c r="J5" s="6"/>
      <c r="K5" s="6"/>
      <c r="L5" s="4"/>
      <c r="M5" s="4"/>
      <c r="N5" s="4"/>
      <c r="O5" s="4"/>
    </row>
    <row r="6" spans="1:18" x14ac:dyDescent="0.3">
      <c r="A6" s="22"/>
      <c r="B6" s="34" t="s">
        <v>39</v>
      </c>
      <c r="C6" s="35" t="s">
        <v>6</v>
      </c>
      <c r="D6" s="35" t="s">
        <v>7</v>
      </c>
      <c r="E6" s="35" t="s">
        <v>31</v>
      </c>
      <c r="F6" s="34" t="s">
        <v>46</v>
      </c>
      <c r="G6" s="22"/>
      <c r="H6" s="52" t="s">
        <v>92</v>
      </c>
      <c r="I6" s="215" t="s">
        <v>11</v>
      </c>
      <c r="J6" s="215"/>
      <c r="K6" s="215"/>
      <c r="L6" s="66" t="s">
        <v>93</v>
      </c>
      <c r="M6" s="66" t="s">
        <v>9</v>
      </c>
      <c r="N6" s="219" t="s">
        <v>10</v>
      </c>
      <c r="O6" s="220"/>
      <c r="P6" s="7"/>
      <c r="Q6" s="7"/>
    </row>
    <row r="7" spans="1:18" x14ac:dyDescent="0.3">
      <c r="B7" s="36">
        <v>1</v>
      </c>
      <c r="C7" s="37" t="s">
        <v>128</v>
      </c>
      <c r="D7" s="38" t="s">
        <v>122</v>
      </c>
      <c r="E7" s="39"/>
      <c r="F7" s="36">
        <v>0</v>
      </c>
      <c r="H7" s="53" t="str">
        <f>ObligatoriaTipo1</f>
        <v>Obl. 1</v>
      </c>
      <c r="I7" s="37" t="str">
        <f>Obligatoria1Nom</f>
        <v>Straight Ballet Leg</v>
      </c>
      <c r="J7" s="44"/>
      <c r="K7" s="37"/>
      <c r="L7" s="39">
        <f>Obligatoria1Cod</f>
        <v>106</v>
      </c>
      <c r="M7" s="45">
        <f>Obligatoria1GD</f>
        <v>1.6</v>
      </c>
      <c r="N7" s="221">
        <f>SUM(M7:M12)</f>
        <v>7.2</v>
      </c>
      <c r="O7" s="222"/>
      <c r="P7" s="7"/>
      <c r="Q7" s="7"/>
    </row>
    <row r="8" spans="1:18" x14ac:dyDescent="0.3">
      <c r="B8" s="188">
        <v>2</v>
      </c>
      <c r="C8" s="27" t="s">
        <v>132</v>
      </c>
      <c r="D8" s="189" t="s">
        <v>124</v>
      </c>
      <c r="E8" s="30"/>
      <c r="F8" s="36">
        <v>1</v>
      </c>
      <c r="H8" s="54" t="str">
        <f>ObligatoriaTipo2</f>
        <v>Obl. 2</v>
      </c>
      <c r="I8" s="47" t="str">
        <f>Obligatoria2Nom</f>
        <v>Barracuda</v>
      </c>
      <c r="J8" s="47"/>
      <c r="K8" s="46"/>
      <c r="L8" s="125">
        <f>Obligatoria2Cod</f>
        <v>301</v>
      </c>
      <c r="M8" s="118">
        <f>Obligatoria2GD</f>
        <v>1.9</v>
      </c>
      <c r="N8" s="221"/>
      <c r="O8" s="222"/>
      <c r="P8" s="7"/>
      <c r="Q8" s="7"/>
    </row>
    <row r="9" spans="1:18" ht="13.5" customHeight="1" x14ac:dyDescent="0.3">
      <c r="B9" s="188">
        <v>3</v>
      </c>
      <c r="C9" s="27" t="s">
        <v>137</v>
      </c>
      <c r="D9" s="189" t="s">
        <v>121</v>
      </c>
      <c r="E9" s="30"/>
      <c r="F9" s="36">
        <v>0</v>
      </c>
      <c r="H9" s="77" t="s">
        <v>118</v>
      </c>
      <c r="I9" s="37" t="str">
        <f>Opcional1Nom</f>
        <v>Walkover Back</v>
      </c>
      <c r="J9" s="44"/>
      <c r="K9" s="37"/>
      <c r="L9" s="39">
        <f>Opcional1Cod</f>
        <v>420</v>
      </c>
      <c r="M9" s="45">
        <f>Opcional1GD</f>
        <v>1.9</v>
      </c>
      <c r="N9" s="221"/>
      <c r="O9" s="222"/>
      <c r="P9" s="7"/>
      <c r="Q9" s="7"/>
    </row>
    <row r="10" spans="1:18" x14ac:dyDescent="0.3">
      <c r="B10" s="188">
        <v>4</v>
      </c>
      <c r="C10" s="27" t="s">
        <v>138</v>
      </c>
      <c r="D10" s="189" t="s">
        <v>122</v>
      </c>
      <c r="E10" s="30"/>
      <c r="F10" s="36">
        <v>0</v>
      </c>
      <c r="H10" s="78" t="s">
        <v>119</v>
      </c>
      <c r="I10" s="55" t="str">
        <f>Opcional2Nom</f>
        <v>Ballerina</v>
      </c>
      <c r="J10" s="56"/>
      <c r="K10" s="55"/>
      <c r="L10" s="57">
        <f>Opcional2Cod</f>
        <v>327</v>
      </c>
      <c r="M10" s="58">
        <f>Opcional2GD</f>
        <v>1.8</v>
      </c>
      <c r="N10" s="223"/>
      <c r="O10" s="224"/>
      <c r="P10" s="7"/>
      <c r="Q10" s="7"/>
    </row>
    <row r="11" spans="1:18" x14ac:dyDescent="0.3">
      <c r="B11" s="188">
        <v>5</v>
      </c>
      <c r="C11" s="27" t="s">
        <v>139</v>
      </c>
      <c r="D11" s="189" t="s">
        <v>114</v>
      </c>
      <c r="E11" s="30"/>
      <c r="F11" s="36">
        <v>0</v>
      </c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8" x14ac:dyDescent="0.3">
      <c r="B12" s="188">
        <v>6</v>
      </c>
      <c r="C12" s="27" t="s">
        <v>140</v>
      </c>
      <c r="D12" s="189" t="s">
        <v>123</v>
      </c>
      <c r="E12" s="30"/>
      <c r="F12" s="36">
        <v>0</v>
      </c>
      <c r="H12" s="59"/>
      <c r="I12" s="73" t="s">
        <v>66</v>
      </c>
      <c r="J12" s="60" t="s">
        <v>115</v>
      </c>
      <c r="K12" s="60"/>
      <c r="L12" s="60"/>
      <c r="M12" s="60"/>
      <c r="N12" s="60"/>
      <c r="O12" s="61"/>
      <c r="P12" s="41"/>
      <c r="Q12" s="41"/>
      <c r="R12" s="42"/>
    </row>
    <row r="13" spans="1:18" x14ac:dyDescent="0.3">
      <c r="B13" s="188">
        <v>7</v>
      </c>
      <c r="C13" s="27" t="s">
        <v>141</v>
      </c>
      <c r="D13" s="189" t="s">
        <v>122</v>
      </c>
      <c r="E13" s="30"/>
      <c r="F13" s="36">
        <v>0</v>
      </c>
      <c r="H13" s="62"/>
      <c r="I13" s="79" t="s">
        <v>67</v>
      </c>
      <c r="J13" s="63" t="s">
        <v>174</v>
      </c>
      <c r="K13" s="63"/>
      <c r="L13" s="63"/>
      <c r="M13" s="63"/>
      <c r="N13" s="63"/>
      <c r="O13" s="64"/>
      <c r="P13" s="41"/>
      <c r="Q13" s="41"/>
      <c r="R13" s="42"/>
    </row>
    <row r="14" spans="1:18" x14ac:dyDescent="0.3">
      <c r="B14" s="188">
        <v>8</v>
      </c>
      <c r="C14" s="27" t="s">
        <v>142</v>
      </c>
      <c r="D14" s="189" t="s">
        <v>123</v>
      </c>
      <c r="E14" s="30"/>
      <c r="F14" s="36">
        <v>0</v>
      </c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2"/>
    </row>
    <row r="15" spans="1:18" x14ac:dyDescent="0.3">
      <c r="B15" s="188">
        <v>9</v>
      </c>
      <c r="C15" s="27" t="s">
        <v>143</v>
      </c>
      <c r="D15" s="189" t="s">
        <v>123</v>
      </c>
      <c r="E15" s="30"/>
      <c r="F15" s="36">
        <v>0</v>
      </c>
      <c r="H15" s="227" t="s">
        <v>44</v>
      </c>
      <c r="I15" s="228"/>
      <c r="J15" s="228"/>
      <c r="K15" s="229"/>
      <c r="L15" s="12"/>
      <c r="N15" s="41"/>
      <c r="O15" s="41"/>
      <c r="P15" s="43"/>
      <c r="Q15" s="41"/>
      <c r="R15" s="42"/>
    </row>
    <row r="16" spans="1:18" ht="14.25" customHeight="1" x14ac:dyDescent="0.3">
      <c r="B16" s="188">
        <v>10</v>
      </c>
      <c r="C16" s="27" t="s">
        <v>144</v>
      </c>
      <c r="D16" s="189" t="s">
        <v>121</v>
      </c>
      <c r="E16" s="30"/>
      <c r="F16" s="36">
        <v>0</v>
      </c>
      <c r="G16" s="1"/>
      <c r="H16" s="48" t="s">
        <v>33</v>
      </c>
      <c r="I16" s="35"/>
      <c r="J16" s="6">
        <v>5</v>
      </c>
      <c r="K16" s="225">
        <f>SUM(J16:J17)</f>
        <v>5</v>
      </c>
      <c r="L16" s="41"/>
      <c r="M16" s="41"/>
      <c r="N16" s="41"/>
      <c r="O16" s="41"/>
      <c r="P16" s="41"/>
      <c r="Q16" s="41"/>
      <c r="R16" s="42"/>
    </row>
    <row r="17" spans="2:18" ht="15" customHeight="1" x14ac:dyDescent="0.3">
      <c r="B17" s="188">
        <v>11</v>
      </c>
      <c r="C17" s="27" t="s">
        <v>145</v>
      </c>
      <c r="D17" s="189" t="s">
        <v>123</v>
      </c>
      <c r="E17" s="30"/>
      <c r="F17" s="36">
        <v>0</v>
      </c>
      <c r="G17" s="2"/>
      <c r="H17" s="49" t="s">
        <v>34</v>
      </c>
      <c r="I17" s="50"/>
      <c r="J17" s="51">
        <v>0</v>
      </c>
      <c r="K17" s="226"/>
      <c r="L17" s="41"/>
      <c r="N17" s="43"/>
      <c r="O17" s="41"/>
      <c r="P17" s="43"/>
      <c r="Q17" s="41"/>
      <c r="R17" s="42"/>
    </row>
    <row r="18" spans="2:18" x14ac:dyDescent="0.3">
      <c r="B18" s="188">
        <v>12</v>
      </c>
      <c r="C18" s="27" t="s">
        <v>146</v>
      </c>
      <c r="D18" s="189" t="s">
        <v>122</v>
      </c>
      <c r="E18" s="30"/>
      <c r="F18" s="36">
        <v>1</v>
      </c>
      <c r="G18" s="2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2"/>
    </row>
    <row r="19" spans="2:18" x14ac:dyDescent="0.3">
      <c r="B19" s="188">
        <v>13</v>
      </c>
      <c r="C19" s="27" t="s">
        <v>147</v>
      </c>
      <c r="D19" s="189" t="s">
        <v>114</v>
      </c>
      <c r="E19" s="30"/>
      <c r="F19" s="36">
        <v>0</v>
      </c>
      <c r="G19" s="8"/>
      <c r="H19" s="230" t="s">
        <v>53</v>
      </c>
      <c r="I19" s="231"/>
      <c r="J19" s="231"/>
      <c r="K19" s="232"/>
      <c r="L19" s="41"/>
      <c r="R19" s="42"/>
    </row>
    <row r="20" spans="2:18" x14ac:dyDescent="0.3">
      <c r="B20" s="188">
        <v>14</v>
      </c>
      <c r="C20" s="27" t="s">
        <v>148</v>
      </c>
      <c r="D20" s="189" t="s">
        <v>122</v>
      </c>
      <c r="E20" s="30"/>
      <c r="F20" s="36">
        <v>0</v>
      </c>
      <c r="G20" s="2"/>
      <c r="H20" s="67" t="s">
        <v>24</v>
      </c>
      <c r="I20" s="212" t="s">
        <v>116</v>
      </c>
      <c r="J20" s="212"/>
      <c r="K20" s="233"/>
      <c r="L20" s="41"/>
      <c r="R20" s="42"/>
    </row>
    <row r="21" spans="2:18" x14ac:dyDescent="0.3">
      <c r="B21" s="188">
        <v>15</v>
      </c>
      <c r="C21" s="27" t="s">
        <v>149</v>
      </c>
      <c r="D21" s="189" t="s">
        <v>124</v>
      </c>
      <c r="E21" s="30"/>
      <c r="F21" s="36">
        <v>0</v>
      </c>
      <c r="G21" s="3"/>
      <c r="H21" s="68" t="s">
        <v>25</v>
      </c>
      <c r="I21" s="212" t="s">
        <v>50</v>
      </c>
      <c r="J21" s="212"/>
      <c r="K21" s="233"/>
      <c r="L21" s="41"/>
      <c r="R21" s="42"/>
    </row>
    <row r="22" spans="2:18" x14ac:dyDescent="0.3">
      <c r="B22" s="188">
        <v>16</v>
      </c>
      <c r="C22" s="27" t="s">
        <v>150</v>
      </c>
      <c r="D22" s="189" t="s">
        <v>121</v>
      </c>
      <c r="E22" s="30"/>
      <c r="F22" s="36">
        <v>0</v>
      </c>
      <c r="G22" s="3"/>
      <c r="H22" s="67" t="s">
        <v>26</v>
      </c>
      <c r="I22" s="212" t="s">
        <v>61</v>
      </c>
      <c r="J22" s="212"/>
      <c r="K22" s="233"/>
      <c r="L22" s="41"/>
      <c r="R22" s="42"/>
    </row>
    <row r="23" spans="2:18" x14ac:dyDescent="0.3">
      <c r="B23" s="188">
        <v>17</v>
      </c>
      <c r="C23" s="27" t="s">
        <v>151</v>
      </c>
      <c r="D23" s="189" t="s">
        <v>123</v>
      </c>
      <c r="E23" s="30"/>
      <c r="F23" s="36">
        <v>0</v>
      </c>
      <c r="H23" s="68" t="s">
        <v>27</v>
      </c>
      <c r="I23" s="212" t="s">
        <v>58</v>
      </c>
      <c r="J23" s="212"/>
      <c r="K23" s="233"/>
      <c r="L23" s="41"/>
      <c r="R23" s="42"/>
    </row>
    <row r="24" spans="2:18" x14ac:dyDescent="0.3">
      <c r="B24" s="188">
        <v>18</v>
      </c>
      <c r="C24" s="27" t="s">
        <v>152</v>
      </c>
      <c r="D24" s="189" t="s">
        <v>121</v>
      </c>
      <c r="E24" s="30"/>
      <c r="F24" s="36">
        <v>0</v>
      </c>
      <c r="H24" s="67" t="s">
        <v>28</v>
      </c>
      <c r="I24" s="212" t="s">
        <v>117</v>
      </c>
      <c r="J24" s="212"/>
      <c r="K24" s="233"/>
      <c r="L24" s="41"/>
      <c r="R24" s="42"/>
    </row>
    <row r="25" spans="2:18" x14ac:dyDescent="0.3">
      <c r="B25" s="188">
        <v>19</v>
      </c>
      <c r="C25" s="27" t="s">
        <v>153</v>
      </c>
      <c r="D25" s="189" t="s">
        <v>114</v>
      </c>
      <c r="E25" s="30"/>
      <c r="F25" s="36">
        <v>0</v>
      </c>
      <c r="H25" s="68" t="s">
        <v>29</v>
      </c>
      <c r="I25" s="206" t="s">
        <v>42</v>
      </c>
      <c r="J25" s="207"/>
      <c r="K25" s="234"/>
      <c r="L25" s="41"/>
      <c r="R25" s="42"/>
    </row>
    <row r="26" spans="2:18" x14ac:dyDescent="0.3">
      <c r="B26" s="188">
        <v>20</v>
      </c>
      <c r="C26" s="27" t="s">
        <v>135</v>
      </c>
      <c r="D26" s="189" t="s">
        <v>122</v>
      </c>
      <c r="E26" s="30"/>
      <c r="F26" s="36">
        <v>0</v>
      </c>
      <c r="H26" s="69" t="s">
        <v>30</v>
      </c>
      <c r="I26" s="235" t="s">
        <v>42</v>
      </c>
      <c r="J26" s="236"/>
      <c r="K26" s="237"/>
      <c r="L26" s="41"/>
      <c r="R26" s="42"/>
    </row>
    <row r="27" spans="2:18" x14ac:dyDescent="0.3">
      <c r="B27" s="188">
        <v>21</v>
      </c>
      <c r="C27" s="27" t="s">
        <v>154</v>
      </c>
      <c r="D27" s="189" t="s">
        <v>121</v>
      </c>
      <c r="E27" s="30"/>
      <c r="F27" s="36">
        <v>0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2:18" x14ac:dyDescent="0.3">
      <c r="B28" s="188">
        <v>22</v>
      </c>
      <c r="C28" s="27" t="s">
        <v>155</v>
      </c>
      <c r="D28" s="189" t="s">
        <v>121</v>
      </c>
      <c r="E28" s="30"/>
      <c r="F28" s="36">
        <v>0</v>
      </c>
      <c r="H28" s="216" t="s">
        <v>45</v>
      </c>
      <c r="I28" s="217"/>
      <c r="J28" s="217"/>
      <c r="K28" s="218"/>
      <c r="L28" s="65"/>
    </row>
    <row r="29" spans="2:18" x14ac:dyDescent="0.3">
      <c r="B29" s="188">
        <v>23</v>
      </c>
      <c r="C29" s="27" t="s">
        <v>125</v>
      </c>
      <c r="D29" s="189" t="s">
        <v>114</v>
      </c>
      <c r="E29" s="30"/>
      <c r="F29" s="36">
        <v>0</v>
      </c>
      <c r="H29" s="70" t="s">
        <v>24</v>
      </c>
      <c r="I29" s="212" t="s">
        <v>42</v>
      </c>
      <c r="J29" s="207"/>
      <c r="K29" s="208"/>
      <c r="L29" s="11"/>
    </row>
    <row r="30" spans="2:18" x14ac:dyDescent="0.3">
      <c r="B30" s="188">
        <v>24</v>
      </c>
      <c r="C30" s="27" t="s">
        <v>156</v>
      </c>
      <c r="D30" s="189" t="s">
        <v>121</v>
      </c>
      <c r="E30" s="30"/>
      <c r="F30" s="36">
        <v>0</v>
      </c>
      <c r="H30" s="71" t="s">
        <v>25</v>
      </c>
      <c r="I30" s="206" t="s">
        <v>42</v>
      </c>
      <c r="J30" s="207"/>
      <c r="K30" s="208"/>
      <c r="L30" s="11"/>
    </row>
    <row r="31" spans="2:18" x14ac:dyDescent="0.3">
      <c r="B31" s="188">
        <v>25</v>
      </c>
      <c r="C31" s="27" t="s">
        <v>127</v>
      </c>
      <c r="D31" s="189" t="s">
        <v>123</v>
      </c>
      <c r="E31" s="30"/>
      <c r="F31" s="36">
        <v>0</v>
      </c>
      <c r="H31" s="70" t="s">
        <v>26</v>
      </c>
      <c r="I31" s="212" t="s">
        <v>78</v>
      </c>
      <c r="J31" s="207"/>
      <c r="K31" s="208"/>
      <c r="L31" s="11"/>
    </row>
    <row r="32" spans="2:18" x14ac:dyDescent="0.3">
      <c r="B32" s="188">
        <v>26</v>
      </c>
      <c r="C32" s="27" t="s">
        <v>157</v>
      </c>
      <c r="D32" s="189" t="s">
        <v>121</v>
      </c>
      <c r="E32" s="30"/>
      <c r="F32" s="36">
        <v>0</v>
      </c>
      <c r="H32" s="71" t="s">
        <v>27</v>
      </c>
      <c r="I32" s="206" t="s">
        <v>78</v>
      </c>
      <c r="J32" s="207"/>
      <c r="K32" s="208"/>
      <c r="L32" s="11"/>
    </row>
    <row r="33" spans="2:12" x14ac:dyDescent="0.3">
      <c r="B33" s="188">
        <v>27</v>
      </c>
      <c r="C33" s="27" t="s">
        <v>126</v>
      </c>
      <c r="D33" s="189" t="s">
        <v>121</v>
      </c>
      <c r="E33" s="30"/>
      <c r="F33" s="36">
        <v>0</v>
      </c>
      <c r="H33" s="70" t="s">
        <v>28</v>
      </c>
      <c r="I33" s="212" t="s">
        <v>78</v>
      </c>
      <c r="J33" s="207"/>
      <c r="K33" s="208"/>
      <c r="L33" s="11"/>
    </row>
    <row r="34" spans="2:12" x14ac:dyDescent="0.3">
      <c r="B34" s="188">
        <v>28</v>
      </c>
      <c r="C34" s="27" t="s">
        <v>158</v>
      </c>
      <c r="D34" s="189" t="s">
        <v>123</v>
      </c>
      <c r="E34" s="30"/>
      <c r="F34" s="36">
        <v>0</v>
      </c>
      <c r="H34" s="71" t="s">
        <v>29</v>
      </c>
      <c r="I34" s="206" t="s">
        <v>78</v>
      </c>
      <c r="J34" s="207"/>
      <c r="K34" s="208"/>
      <c r="L34" s="11"/>
    </row>
    <row r="35" spans="2:12" x14ac:dyDescent="0.3">
      <c r="B35" s="188">
        <v>29</v>
      </c>
      <c r="C35" s="27" t="s">
        <v>159</v>
      </c>
      <c r="D35" s="189" t="s">
        <v>122</v>
      </c>
      <c r="E35" s="30"/>
      <c r="F35" s="36">
        <v>0</v>
      </c>
      <c r="H35" s="72" t="s">
        <v>30</v>
      </c>
      <c r="I35" s="209" t="s">
        <v>78</v>
      </c>
      <c r="J35" s="210"/>
      <c r="K35" s="211"/>
      <c r="L35" s="11"/>
    </row>
    <row r="36" spans="2:12" x14ac:dyDescent="0.3">
      <c r="B36" s="188">
        <v>30</v>
      </c>
      <c r="C36" s="27" t="s">
        <v>160</v>
      </c>
      <c r="D36" s="189" t="s">
        <v>123</v>
      </c>
      <c r="E36" s="30"/>
      <c r="F36" s="36">
        <v>0</v>
      </c>
    </row>
    <row r="37" spans="2:12" x14ac:dyDescent="0.3">
      <c r="B37" s="188">
        <v>31</v>
      </c>
      <c r="C37" s="27" t="s">
        <v>161</v>
      </c>
      <c r="D37" s="189" t="s">
        <v>121</v>
      </c>
      <c r="E37" s="30"/>
      <c r="F37" s="36">
        <v>0</v>
      </c>
    </row>
    <row r="38" spans="2:12" x14ac:dyDescent="0.3">
      <c r="B38" s="188">
        <v>32</v>
      </c>
      <c r="C38" s="27" t="s">
        <v>136</v>
      </c>
      <c r="D38" s="189" t="s">
        <v>121</v>
      </c>
      <c r="E38" s="30"/>
      <c r="F38" s="36">
        <v>0</v>
      </c>
    </row>
    <row r="39" spans="2:12" x14ac:dyDescent="0.3">
      <c r="B39" s="188">
        <v>33</v>
      </c>
      <c r="C39" s="27" t="s">
        <v>129</v>
      </c>
      <c r="D39" s="189" t="s">
        <v>123</v>
      </c>
      <c r="E39" s="30"/>
      <c r="F39" s="36">
        <v>0</v>
      </c>
    </row>
    <row r="40" spans="2:12" x14ac:dyDescent="0.3">
      <c r="B40" s="188">
        <v>34</v>
      </c>
      <c r="C40" s="27" t="s">
        <v>162</v>
      </c>
      <c r="D40" s="189" t="s">
        <v>122</v>
      </c>
      <c r="E40" s="30"/>
      <c r="F40" s="36">
        <v>0</v>
      </c>
    </row>
    <row r="41" spans="2:12" x14ac:dyDescent="0.3">
      <c r="B41" s="188">
        <v>35</v>
      </c>
      <c r="C41" s="27" t="s">
        <v>163</v>
      </c>
      <c r="D41" s="189" t="s">
        <v>123</v>
      </c>
      <c r="E41" s="30"/>
      <c r="F41" s="36">
        <v>0</v>
      </c>
    </row>
    <row r="42" spans="2:12" x14ac:dyDescent="0.3">
      <c r="B42" s="188">
        <v>36</v>
      </c>
      <c r="C42" s="27" t="s">
        <v>164</v>
      </c>
      <c r="D42" s="189" t="s">
        <v>122</v>
      </c>
      <c r="E42" s="30"/>
      <c r="F42" s="36">
        <v>0</v>
      </c>
    </row>
    <row r="43" spans="2:12" x14ac:dyDescent="0.3">
      <c r="B43" s="188">
        <v>37</v>
      </c>
      <c r="C43" s="27" t="s">
        <v>165</v>
      </c>
      <c r="D43" s="189" t="s">
        <v>123</v>
      </c>
      <c r="E43" s="30"/>
      <c r="F43" s="36">
        <v>0</v>
      </c>
    </row>
    <row r="44" spans="2:12" x14ac:dyDescent="0.3">
      <c r="B44" s="188">
        <v>38</v>
      </c>
      <c r="C44" s="27" t="s">
        <v>166</v>
      </c>
      <c r="D44" s="189" t="s">
        <v>121</v>
      </c>
      <c r="E44" s="30"/>
      <c r="F44" s="36">
        <v>0</v>
      </c>
    </row>
    <row r="45" spans="2:12" x14ac:dyDescent="0.3">
      <c r="B45" s="188">
        <v>39</v>
      </c>
      <c r="C45" s="27" t="s">
        <v>167</v>
      </c>
      <c r="D45" s="189" t="s">
        <v>114</v>
      </c>
      <c r="E45" s="30"/>
      <c r="F45" s="36">
        <v>0</v>
      </c>
    </row>
    <row r="46" spans="2:12" x14ac:dyDescent="0.3">
      <c r="B46" s="188">
        <v>40</v>
      </c>
      <c r="C46" s="27" t="s">
        <v>168</v>
      </c>
      <c r="D46" s="189" t="s">
        <v>122</v>
      </c>
      <c r="E46" s="30"/>
      <c r="F46" s="36">
        <v>0</v>
      </c>
    </row>
    <row r="47" spans="2:12" x14ac:dyDescent="0.3">
      <c r="B47" s="188">
        <v>41</v>
      </c>
      <c r="C47" s="27" t="s">
        <v>169</v>
      </c>
      <c r="D47" s="189" t="s">
        <v>121</v>
      </c>
      <c r="E47" s="30"/>
      <c r="F47" s="36">
        <v>0</v>
      </c>
    </row>
    <row r="48" spans="2:12" x14ac:dyDescent="0.3">
      <c r="B48" s="188">
        <v>42</v>
      </c>
      <c r="C48" s="27" t="s">
        <v>131</v>
      </c>
      <c r="D48" s="189" t="s">
        <v>122</v>
      </c>
      <c r="E48" s="30"/>
      <c r="F48" s="36">
        <v>0</v>
      </c>
    </row>
    <row r="49" spans="2:6" x14ac:dyDescent="0.3">
      <c r="B49" s="188">
        <v>43</v>
      </c>
      <c r="C49" s="27" t="s">
        <v>170</v>
      </c>
      <c r="D49" s="189" t="s">
        <v>121</v>
      </c>
      <c r="E49" s="30"/>
      <c r="F49" s="36">
        <v>0</v>
      </c>
    </row>
    <row r="50" spans="2:6" x14ac:dyDescent="0.3">
      <c r="B50" s="188">
        <v>44</v>
      </c>
      <c r="C50" s="27" t="s">
        <v>130</v>
      </c>
      <c r="D50" s="189" t="s">
        <v>121</v>
      </c>
      <c r="E50" s="30"/>
      <c r="F50" s="36">
        <v>0</v>
      </c>
    </row>
    <row r="51" spans="2:6" x14ac:dyDescent="0.3">
      <c r="B51" s="188">
        <v>45</v>
      </c>
      <c r="C51" s="27" t="s">
        <v>171</v>
      </c>
      <c r="D51" s="189" t="s">
        <v>123</v>
      </c>
      <c r="E51" s="30"/>
      <c r="F51" s="36">
        <v>0</v>
      </c>
    </row>
    <row r="52" spans="2:6" x14ac:dyDescent="0.3">
      <c r="B52" s="188">
        <v>46</v>
      </c>
      <c r="C52" s="27" t="s">
        <v>172</v>
      </c>
      <c r="D52" s="189" t="s">
        <v>121</v>
      </c>
      <c r="E52" s="30"/>
      <c r="F52" s="36">
        <v>0</v>
      </c>
    </row>
    <row r="53" spans="2:6" x14ac:dyDescent="0.3">
      <c r="B53" s="188">
        <v>47</v>
      </c>
      <c r="C53" s="27" t="s">
        <v>173</v>
      </c>
      <c r="D53" s="189" t="s">
        <v>124</v>
      </c>
      <c r="E53" s="30"/>
      <c r="F53" s="36">
        <v>0</v>
      </c>
    </row>
  </sheetData>
  <sortState xmlns:xlrd2="http://schemas.microsoft.com/office/spreadsheetml/2017/richdata2" ref="C7:F7">
    <sortCondition ref="F6:F7"/>
  </sortState>
  <dataConsolidate/>
  <mergeCells count="23">
    <mergeCell ref="B2:F2"/>
    <mergeCell ref="B3:F3"/>
    <mergeCell ref="I6:K6"/>
    <mergeCell ref="H28:K28"/>
    <mergeCell ref="N6:O6"/>
    <mergeCell ref="N7:O10"/>
    <mergeCell ref="K16:K17"/>
    <mergeCell ref="H15:K15"/>
    <mergeCell ref="H19:K19"/>
    <mergeCell ref="I20:K20"/>
    <mergeCell ref="I21:K21"/>
    <mergeCell ref="I22:K22"/>
    <mergeCell ref="I23:K23"/>
    <mergeCell ref="I24:K24"/>
    <mergeCell ref="I25:K25"/>
    <mergeCell ref="I26:K26"/>
    <mergeCell ref="I34:K34"/>
    <mergeCell ref="I35:K35"/>
    <mergeCell ref="I29:K29"/>
    <mergeCell ref="I30:K30"/>
    <mergeCell ref="I31:K31"/>
    <mergeCell ref="I32:K32"/>
    <mergeCell ref="I33:K33"/>
  </mergeCells>
  <conditionalFormatting sqref="P17">
    <cfRule type="expression" dxfId="3" priority="4">
      <formula>"BUSCARV(P15;tblDeportistas[[Deportista]:[Compite]];4;0)=1"</formula>
    </cfRule>
  </conditionalFormatting>
  <conditionalFormatting sqref="P15">
    <cfRule type="expression" dxfId="2" priority="3">
      <formula>"BUSCARV(P15;tblDeportistas[[Deportista]:[Compite]];4;0)=1"</formula>
    </cfRule>
  </conditionalFormatting>
  <conditionalFormatting sqref="B7:F53">
    <cfRule type="expression" dxfId="1" priority="1">
      <formula>$F7&lt;&gt;0</formula>
    </cfRule>
  </conditionalFormatting>
  <dataValidations xWindow="1080" yWindow="638" count="6">
    <dataValidation type="whole" allowBlank="1" showInputMessage="1" showErrorMessage="1" errorTitle="Error" error="El numero de Jueces debe estar entre 1 y 7" promptTitle="Jueces en Panel" prompt="Cantidad de jueces que estaran calificando las figuras infantiles." sqref="J16:K16" xr:uid="{00000000-0002-0000-0000-000001000000}">
      <formula1>1</formula1>
      <formula2>7</formula2>
    </dataValidation>
    <dataValidation type="whole" allowBlank="1" showInputMessage="1" showErrorMessage="1" errorTitle="Error !!" error="El número de jueces en panel mas los calculados no debe ser mayor a 7." promptTitle="Calculados" prompt="Cantidad de jueces que seran calculados para completar el panel." sqref="J17:K17" xr:uid="{B3107478-AA5D-44B2-B806-21FF76FB1D16}">
      <formula1>0</formula1>
      <formula2>(7- JuecesPanel )</formula2>
    </dataValidation>
    <dataValidation allowBlank="1" showInputMessage="1" showErrorMessage="1" errorTitle="Error" sqref="D7:D53" xr:uid="{00000000-0002-0000-0000-000002000000}"/>
    <dataValidation type="whole" allowBlank="1" sqref="F7:F53" xr:uid="{868C2382-58DD-4AAB-B42D-41A1C2459F3A}">
      <formula1>0</formula1>
      <formula2>1</formula2>
    </dataValidation>
    <dataValidation type="list" allowBlank="1" showInputMessage="1" showErrorMessage="1" sqref="I29:K35 I20:K26" xr:uid="{0B74ADCE-B449-4F38-A227-9A9B5064131C}">
      <formula1>_xlfn.ANCHORARRAY(JuecesDisponibles)</formula1>
    </dataValidation>
    <dataValidation type="list" allowBlank="1" showInputMessage="1" showErrorMessage="1" sqref="P15" xr:uid="{4B649DAC-A3A9-4404-B507-2243D6819911}">
      <formula1>$C$7:$C$53</formula1>
    </dataValidation>
  </dataValidations>
  <printOptions horizontalCentered="1"/>
  <pageMargins left="0.1" right="0.12" top="0.74803149606299213" bottom="0.61" header="0.31496062992125984" footer="0.31496062992125984"/>
  <pageSetup scale="86" fitToHeight="0" orientation="portrait" errors="NA" r:id="rId1"/>
  <headerFooter>
    <oddFooter>&amp;L[&amp;A]&amp;RPágina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Planilla">
                <anchor moveWithCells="1" sizeWithCells="1">
                  <from>
                    <xdr:col>11</xdr:col>
                    <xdr:colOff>121920</xdr:colOff>
                    <xdr:row>14</xdr:row>
                    <xdr:rowOff>38100</xdr:rowOff>
                  </from>
                  <to>
                    <xdr:col>15</xdr:col>
                    <xdr:colOff>60960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Button 11">
              <controlPr defaultSize="0" print="0" autoFill="0" autoPict="0" macro="[0]!GeneraPDF">
                <anchor moveWithCells="1" sizeWithCells="1">
                  <from>
                    <xdr:col>11</xdr:col>
                    <xdr:colOff>121920</xdr:colOff>
                    <xdr:row>16</xdr:row>
                    <xdr:rowOff>167640</xdr:rowOff>
                  </from>
                  <to>
                    <xdr:col>15</xdr:col>
                    <xdr:colOff>30480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LimpiaPlanillayPosiciones">
                <anchor moveWithCells="1" sizeWithCells="1">
                  <from>
                    <xdr:col>11</xdr:col>
                    <xdr:colOff>129540</xdr:colOff>
                    <xdr:row>21</xdr:row>
                    <xdr:rowOff>7620</xdr:rowOff>
                  </from>
                  <to>
                    <xdr:col>15</xdr:col>
                    <xdr:colOff>38100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LimpiaInscripciones">
                <anchor moveWithCells="1" sizeWithCells="1">
                  <from>
                    <xdr:col>11</xdr:col>
                    <xdr:colOff>152400</xdr:colOff>
                    <xdr:row>24</xdr:row>
                    <xdr:rowOff>53340</xdr:rowOff>
                  </from>
                  <to>
                    <xdr:col>15</xdr:col>
                    <xdr:colOff>53340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D2F9C527-8DE2-4A85-92F5-A2530A3652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2"/>
              <x14:cfIcon iconSet="3Symbols2" iconId="0"/>
            </x14:iconSet>
          </x14:cfRule>
          <xm:sqref>F7:F53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DBA-F30E-486C-8765-F6610BC734C1}">
  <sheetPr codeName="Hoja2" filterMode="1">
    <pageSetUpPr fitToPage="1"/>
  </sheetPr>
  <dimension ref="A1:T196"/>
  <sheetViews>
    <sheetView showGridLines="0" tabSelected="1" topLeftCell="B1" zoomScale="90" zoomScaleNormal="90" workbookViewId="0">
      <selection sqref="A1:A1048576"/>
    </sheetView>
  </sheetViews>
  <sheetFormatPr baseColWidth="10" defaultColWidth="0" defaultRowHeight="14.4" x14ac:dyDescent="0.3"/>
  <cols>
    <col min="1" max="1" width="23.21875" style="13" hidden="1" customWidth="1"/>
    <col min="2" max="2" width="7" style="13" customWidth="1"/>
    <col min="3" max="3" width="28.109375" style="13" bestFit="1" customWidth="1"/>
    <col min="4" max="4" width="25.88671875" style="13" customWidth="1"/>
    <col min="5" max="5" width="6.44140625" style="13" customWidth="1"/>
    <col min="6" max="12" width="4.6640625" style="13" customWidth="1"/>
    <col min="13" max="14" width="5.33203125" style="13" hidden="1" customWidth="1"/>
    <col min="15" max="15" width="5.44140625" style="13" hidden="1" customWidth="1"/>
    <col min="16" max="16" width="7" style="13" hidden="1" customWidth="1"/>
    <col min="17" max="17" width="3.6640625" style="13" customWidth="1"/>
    <col min="18" max="18" width="17" style="13" hidden="1" customWidth="1"/>
    <col min="19" max="19" width="10.33203125" style="13" customWidth="1"/>
    <col min="20" max="20" width="1.6640625" style="13" customWidth="1"/>
    <col min="21" max="16384" width="11.44140625" style="13" hidden="1"/>
  </cols>
  <sheetData>
    <row r="1" spans="1:19" ht="15.75" customHeight="1" x14ac:dyDescent="0.4">
      <c r="B1" s="239" t="str">
        <f>HeadLin1</f>
        <v>Liga de Natación de Antioquia</v>
      </c>
      <c r="C1" s="239"/>
      <c r="D1" s="239"/>
      <c r="E1" s="239"/>
      <c r="F1" s="239"/>
      <c r="G1" s="239"/>
      <c r="H1" s="114"/>
      <c r="I1" s="114"/>
      <c r="J1" s="114"/>
      <c r="K1" s="114"/>
      <c r="L1" s="114"/>
      <c r="M1" s="114"/>
      <c r="N1" s="114"/>
      <c r="O1" s="115"/>
      <c r="P1" s="115"/>
      <c r="Q1" s="115"/>
      <c r="R1" s="115"/>
      <c r="S1" s="115"/>
    </row>
    <row r="2" spans="1:19" ht="15.75" customHeight="1" x14ac:dyDescent="0.4">
      <c r="B2" s="239" t="str">
        <f>HeadLin2</f>
        <v>Festival infantil departamental Fase I</v>
      </c>
      <c r="C2" s="239"/>
      <c r="D2" s="239"/>
      <c r="E2" s="239"/>
      <c r="F2" s="239"/>
      <c r="G2" s="239"/>
      <c r="H2" s="114"/>
      <c r="I2" s="114"/>
      <c r="J2" s="114"/>
      <c r="K2" s="114"/>
      <c r="L2" s="114"/>
      <c r="M2" s="114"/>
      <c r="N2" s="114"/>
      <c r="O2" s="115"/>
      <c r="P2" s="115"/>
      <c r="Q2" s="115"/>
      <c r="R2" s="115"/>
      <c r="S2" s="115"/>
    </row>
    <row r="3" spans="1:19" ht="15.75" customHeight="1" x14ac:dyDescent="0.4">
      <c r="B3" s="239" t="str">
        <f>HeadLin3</f>
        <v>Figuras - Categoría Infantil</v>
      </c>
      <c r="C3" s="239"/>
      <c r="D3" s="239"/>
      <c r="E3" s="239"/>
      <c r="F3" s="239"/>
      <c r="G3" s="239"/>
      <c r="H3" s="114"/>
      <c r="I3" s="114"/>
      <c r="J3" s="114"/>
      <c r="K3" s="114"/>
      <c r="L3" s="114"/>
      <c r="M3" s="114"/>
      <c r="N3" s="114"/>
      <c r="O3" s="115"/>
      <c r="P3" s="115"/>
      <c r="Q3" s="115"/>
      <c r="R3" s="115"/>
      <c r="S3" s="115"/>
    </row>
    <row r="4" spans="1:19" ht="15.75" customHeight="1" x14ac:dyDescent="0.4">
      <c r="B4" s="239" t="str">
        <f>HeadLin4</f>
        <v>Abril 23 de 2022</v>
      </c>
      <c r="C4" s="239"/>
      <c r="D4" s="239"/>
      <c r="E4" s="239"/>
      <c r="F4" s="239"/>
      <c r="G4" s="239"/>
      <c r="H4" s="114"/>
      <c r="I4" s="114"/>
      <c r="J4" s="114"/>
      <c r="K4" s="114"/>
      <c r="L4" s="114"/>
      <c r="M4" s="114"/>
      <c r="N4" s="114"/>
      <c r="O4" s="115"/>
      <c r="P4" s="115"/>
      <c r="Q4" s="115"/>
      <c r="R4" s="115"/>
      <c r="S4" s="115"/>
    </row>
    <row r="5" spans="1:19" ht="10.5" customHeight="1" x14ac:dyDescent="0.4"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</row>
    <row r="6" spans="1:19" x14ac:dyDescent="0.3">
      <c r="B6" s="23"/>
      <c r="C6" s="24"/>
      <c r="D6" s="24"/>
      <c r="E6" s="24"/>
      <c r="F6" s="240" t="s">
        <v>47</v>
      </c>
      <c r="G6" s="240"/>
      <c r="H6" s="240"/>
      <c r="I6" s="240"/>
      <c r="J6" s="240"/>
      <c r="K6" s="240"/>
      <c r="L6" s="240"/>
      <c r="M6" s="136"/>
      <c r="N6" s="136"/>
      <c r="O6" s="136"/>
      <c r="P6" s="136"/>
      <c r="Q6" s="136"/>
      <c r="R6" s="238"/>
      <c r="S6" s="238"/>
    </row>
    <row r="7" spans="1:19" ht="36.450000000000003" customHeight="1" x14ac:dyDescent="0.3">
      <c r="A7" s="122" t="s">
        <v>175</v>
      </c>
      <c r="B7" s="89" t="s">
        <v>5</v>
      </c>
      <c r="C7" s="89" t="s">
        <v>6</v>
      </c>
      <c r="D7" s="89" t="s">
        <v>7</v>
      </c>
      <c r="E7" s="94" t="s">
        <v>120</v>
      </c>
      <c r="F7" s="90" t="s">
        <v>68</v>
      </c>
      <c r="G7" s="89" t="s">
        <v>69</v>
      </c>
      <c r="H7" s="89" t="s">
        <v>70</v>
      </c>
      <c r="I7" s="89" t="s">
        <v>71</v>
      </c>
      <c r="J7" s="89" t="s">
        <v>72</v>
      </c>
      <c r="K7" s="89" t="s">
        <v>73</v>
      </c>
      <c r="L7" s="89" t="s">
        <v>74</v>
      </c>
      <c r="M7" s="91" t="s">
        <v>1</v>
      </c>
      <c r="N7" s="91" t="s">
        <v>2</v>
      </c>
      <c r="O7" s="92" t="s">
        <v>76</v>
      </c>
      <c r="P7" s="93" t="s">
        <v>75</v>
      </c>
      <c r="Q7" s="91" t="s">
        <v>8</v>
      </c>
      <c r="R7" s="94" t="s">
        <v>3</v>
      </c>
      <c r="S7" s="95" t="s">
        <v>4</v>
      </c>
    </row>
    <row r="8" spans="1:19" hidden="1" x14ac:dyDescent="0.3">
      <c r="A8" s="13" t="str">
        <f>tblPlanilla[[#This Row],[Club]]</f>
        <v>SINCROANTIOQUIA NADO</v>
      </c>
      <c r="B8" s="96">
        <v>1</v>
      </c>
      <c r="C8" s="104" t="s">
        <v>128</v>
      </c>
      <c r="D8" s="103" t="s">
        <v>122</v>
      </c>
      <c r="E8" s="89">
        <f>Obligatoria1Cod</f>
        <v>106</v>
      </c>
      <c r="F8" s="112">
        <v>0</v>
      </c>
      <c r="G8" s="98">
        <v>0</v>
      </c>
      <c r="H8" s="98">
        <v>0</v>
      </c>
      <c r="I8" s="98">
        <v>0</v>
      </c>
      <c r="J8" s="98">
        <v>0</v>
      </c>
      <c r="K8" s="98" t="str">
        <f>IF(JuecesPanel&gt;=6,"",IF((JuecesPanel+JuecesCalc)&lt;6,"",IF(COUNT(F8:J8)&gt;0,AVERAGE(F8:J8),"")))</f>
        <v/>
      </c>
      <c r="L8" s="98" t="str">
        <f>IF(JuecesPanel&gt;=7,"",IF((JuecesPanel+JuecesCalc)&lt;7,"",IF(COUNT(F8:K8)&gt;0,AVERAGE(F8:K8),"")))</f>
        <v/>
      </c>
      <c r="M8" s="97">
        <f t="shared" ref="M8:M39" si="0">IF(COUNT(F8:L8)&gt;4,MAX(F8:L8),"")</f>
        <v>0</v>
      </c>
      <c r="N8" s="97">
        <f t="shared" ref="N8:N39" si="1">IF(COUNT(F8:L8)&gt;4,MIN(F8:L8),"")</f>
        <v>0</v>
      </c>
      <c r="O8" s="105">
        <f t="shared" ref="O8:O39" si="2">IF(COUNT(F8:L8)&gt;0,(SUM(F8:L8)-( SUM(M8:N8)  ))/(IF(COUNT(F8:L8)&gt;4,COUNT(F8:L8)-2,COUNT(F8:L8))),"")</f>
        <v>0</v>
      </c>
      <c r="P8" s="138">
        <f>IF(COUNT(F8:L8)&gt;0,O8*Obligatoria1GD,"")</f>
        <v>0</v>
      </c>
      <c r="Q8" s="144"/>
      <c r="R8" s="141">
        <f>IF(COUNT(F8:L11)&gt;0,SUM(P8:P11),"")</f>
        <v>17.663333333333334</v>
      </c>
      <c r="S8" s="106">
        <f>IF(COUNT(F8:L11)&gt;0,((R8/TotalGD)*10)-SUM(Q8:Q11),0)</f>
        <v>24.532407407407408</v>
      </c>
    </row>
    <row r="9" spans="1:19" hidden="1" x14ac:dyDescent="0.3">
      <c r="A9" s="13" t="str">
        <f>D8</f>
        <v>SINCROANTIOQUIA NADO</v>
      </c>
      <c r="B9" s="87"/>
      <c r="C9" s="86"/>
      <c r="D9" s="87"/>
      <c r="E9" s="89">
        <f>Obligatoria2Cod</f>
        <v>301</v>
      </c>
      <c r="F9" s="101">
        <v>3.5</v>
      </c>
      <c r="G9" s="25">
        <v>3.1</v>
      </c>
      <c r="H9" s="25">
        <v>3.5</v>
      </c>
      <c r="I9" s="25">
        <v>3.2</v>
      </c>
      <c r="J9" s="25">
        <v>3.2</v>
      </c>
      <c r="K9" s="25" t="str">
        <f>IF(JuecesPanel&gt;=6,"",IF((JuecesPanel+JuecesCalc)&lt;6,"",IF(COUNT(F9:J9)&gt;0,AVERAGE(F9:J9),"")))</f>
        <v/>
      </c>
      <c r="L9" s="25" t="str">
        <f>IF(JuecesPanel&gt;=7,"",IF((JuecesPanel+JuecesCalc)&lt;7,"",IF(COUNT(F9:K9)&gt;0,AVERAGE(F9:K9),"")))</f>
        <v/>
      </c>
      <c r="M9" s="25">
        <f t="shared" si="0"/>
        <v>3.5</v>
      </c>
      <c r="N9" s="25">
        <f t="shared" si="1"/>
        <v>3.1</v>
      </c>
      <c r="O9" s="88">
        <f t="shared" si="2"/>
        <v>3.3000000000000003</v>
      </c>
      <c r="P9" s="139">
        <f>IF(COUNT(F9:L9)&gt;0,O9*Obligatoria2GD,"")</f>
        <v>6.2700000000000005</v>
      </c>
      <c r="Q9" s="145"/>
      <c r="R9" s="142"/>
      <c r="S9" s="107"/>
    </row>
    <row r="10" spans="1:19" hidden="1" x14ac:dyDescent="0.3">
      <c r="A10" s="13" t="str">
        <f>D8</f>
        <v>SINCROANTIOQUIA NADO</v>
      </c>
      <c r="B10" s="87"/>
      <c r="C10" s="86"/>
      <c r="D10" s="87"/>
      <c r="E10" s="89">
        <f>Opcional1Cod</f>
        <v>420</v>
      </c>
      <c r="F10" s="113">
        <v>2.8</v>
      </c>
      <c r="G10" s="26">
        <v>3</v>
      </c>
      <c r="H10" s="26">
        <v>3</v>
      </c>
      <c r="I10" s="26">
        <v>2.7</v>
      </c>
      <c r="J10" s="26">
        <v>3</v>
      </c>
      <c r="K10" s="26" t="str">
        <f>IF(JuecesPanel&gt;=6,"",IF((JuecesPanel+JuecesCalc)&lt;6,"",IF(COUNT(F10:J10)&gt;0,AVERAGE(F10:J10),"")))</f>
        <v/>
      </c>
      <c r="L10" s="26" t="str">
        <f>IF(JuecesPanel&gt;=7,"",IF((JuecesPanel+JuecesCalc)&lt;7,"",IF(COUNT(F10:K10)&gt;0,AVERAGE(F10:K10),"")))</f>
        <v/>
      </c>
      <c r="M10" s="25">
        <f t="shared" si="0"/>
        <v>3</v>
      </c>
      <c r="N10" s="25">
        <f t="shared" si="1"/>
        <v>2.7</v>
      </c>
      <c r="O10" s="88">
        <f t="shared" si="2"/>
        <v>2.9333333333333336</v>
      </c>
      <c r="P10" s="139">
        <f>IF(COUNT(F10:L10)&gt;0,O10*Opcional1GD,"")</f>
        <v>5.5733333333333333</v>
      </c>
      <c r="Q10" s="145"/>
      <c r="R10" s="142"/>
      <c r="S10" s="107"/>
    </row>
    <row r="11" spans="1:19" hidden="1" x14ac:dyDescent="0.3">
      <c r="A11" s="13" t="str">
        <f>D8</f>
        <v>SINCROANTIOQUIA NADO</v>
      </c>
      <c r="B11" s="108"/>
      <c r="C11" s="109"/>
      <c r="D11" s="108"/>
      <c r="E11" s="89">
        <f>Opcional2Cod</f>
        <v>327</v>
      </c>
      <c r="F11" s="102">
        <v>3.6</v>
      </c>
      <c r="G11" s="99">
        <v>3.5</v>
      </c>
      <c r="H11" s="99">
        <v>3.1</v>
      </c>
      <c r="I11" s="99">
        <v>3.1</v>
      </c>
      <c r="J11" s="99">
        <v>2.9</v>
      </c>
      <c r="K11" s="99" t="str">
        <f>IF(JuecesPanel&gt;=6,"",IF((JuecesPanel+JuecesCalc)&lt;6,"",IF(COUNT(F11:J11)&gt;0,AVERAGE(F11:J11),"")))</f>
        <v/>
      </c>
      <c r="L11" s="99" t="str">
        <f>IF(JuecesPanel&gt;=7,"",IF((JuecesPanel+JuecesCalc)&lt;7,"",IF(COUNT(F11:K11)&gt;0,AVERAGE(F11:K11),"")))</f>
        <v/>
      </c>
      <c r="M11" s="99">
        <f t="shared" si="0"/>
        <v>3.6</v>
      </c>
      <c r="N11" s="99">
        <f t="shared" si="1"/>
        <v>2.9</v>
      </c>
      <c r="O11" s="110">
        <f t="shared" si="2"/>
        <v>3.2333333333333329</v>
      </c>
      <c r="P11" s="140">
        <f>IF(COUNT(F11:L11)&gt;0,O11*Opcional2GD,"")</f>
        <v>5.8199999999999994</v>
      </c>
      <c r="Q11" s="146"/>
      <c r="R11" s="143"/>
      <c r="S11" s="111"/>
    </row>
    <row r="12" spans="1:19" hidden="1" x14ac:dyDescent="0.3">
      <c r="A12" s="13" t="str">
        <f>tblPlanilla[[#This Row],[Club]]</f>
        <v>TRANSFERENCIA</v>
      </c>
      <c r="B12" s="147">
        <v>2</v>
      </c>
      <c r="C12" s="186" t="s">
        <v>132</v>
      </c>
      <c r="D12" s="187" t="s">
        <v>124</v>
      </c>
      <c r="E12" s="148" t="s">
        <v>113</v>
      </c>
      <c r="F12" s="149" t="s">
        <v>113</v>
      </c>
      <c r="G12" s="150" t="s">
        <v>113</v>
      </c>
      <c r="H12" s="150" t="s">
        <v>113</v>
      </c>
      <c r="I12" s="150" t="s">
        <v>113</v>
      </c>
      <c r="J12" s="150" t="s">
        <v>113</v>
      </c>
      <c r="K12" s="150" t="s">
        <v>113</v>
      </c>
      <c r="L12" s="151" t="s">
        <v>113</v>
      </c>
      <c r="M12" s="152" t="str">
        <f t="shared" si="0"/>
        <v/>
      </c>
      <c r="N12" s="153" t="str">
        <f t="shared" si="1"/>
        <v/>
      </c>
      <c r="O12" s="154" t="str">
        <f t="shared" si="2"/>
        <v/>
      </c>
      <c r="P12" s="155" t="str">
        <f>IF(COUNT(F12:L12)&gt;0,O12*Obligatoria1GD,"")</f>
        <v/>
      </c>
      <c r="Q12" s="156"/>
      <c r="R12" s="157" t="str">
        <f>IF(COUNT(F12:L15)&gt;0,SUM(P12:P15),"")</f>
        <v/>
      </c>
      <c r="S12" s="158"/>
    </row>
    <row r="13" spans="1:19" hidden="1" x14ac:dyDescent="0.3">
      <c r="A13" s="13" t="str">
        <f>D12</f>
        <v>TRANSFERENCIA</v>
      </c>
      <c r="B13" s="159"/>
      <c r="C13" s="160"/>
      <c r="D13" s="161"/>
      <c r="E13" s="162" t="s">
        <v>113</v>
      </c>
      <c r="F13" s="163" t="s">
        <v>113</v>
      </c>
      <c r="G13" s="164" t="s">
        <v>113</v>
      </c>
      <c r="H13" s="164" t="s">
        <v>113</v>
      </c>
      <c r="I13" s="164" t="s">
        <v>113</v>
      </c>
      <c r="J13" s="164" t="s">
        <v>113</v>
      </c>
      <c r="K13" s="164" t="s">
        <v>113</v>
      </c>
      <c r="L13" s="165" t="s">
        <v>113</v>
      </c>
      <c r="M13" s="166" t="str">
        <f t="shared" si="0"/>
        <v/>
      </c>
      <c r="N13" s="167" t="str">
        <f t="shared" si="1"/>
        <v/>
      </c>
      <c r="O13" s="168" t="str">
        <f t="shared" si="2"/>
        <v/>
      </c>
      <c r="P13" s="169" t="str">
        <f>IF(COUNT(F13:L13)&gt;0,O13*Obligatoria2GD,"")</f>
        <v/>
      </c>
      <c r="Q13" s="170"/>
      <c r="R13" s="171"/>
      <c r="S13" s="172"/>
    </row>
    <row r="14" spans="1:19" hidden="1" x14ac:dyDescent="0.3">
      <c r="A14" s="13" t="str">
        <f>D12</f>
        <v>TRANSFERENCIA</v>
      </c>
      <c r="B14" s="159"/>
      <c r="C14" s="160"/>
      <c r="D14" s="161"/>
      <c r="E14" s="162" t="s">
        <v>113</v>
      </c>
      <c r="F14" s="163" t="s">
        <v>113</v>
      </c>
      <c r="G14" s="164" t="s">
        <v>113</v>
      </c>
      <c r="H14" s="164" t="s">
        <v>113</v>
      </c>
      <c r="I14" s="164" t="s">
        <v>113</v>
      </c>
      <c r="J14" s="164" t="s">
        <v>113</v>
      </c>
      <c r="K14" s="164" t="s">
        <v>113</v>
      </c>
      <c r="L14" s="165" t="s">
        <v>113</v>
      </c>
      <c r="M14" s="166" t="str">
        <f t="shared" si="0"/>
        <v/>
      </c>
      <c r="N14" s="167" t="str">
        <f t="shared" si="1"/>
        <v/>
      </c>
      <c r="O14" s="168" t="str">
        <f t="shared" si="2"/>
        <v/>
      </c>
      <c r="P14" s="169" t="str">
        <f>IF(COUNT(F14:L14)&gt;0,O14*Opcional1GD,"")</f>
        <v/>
      </c>
      <c r="Q14" s="170"/>
      <c r="R14" s="171"/>
      <c r="S14" s="172"/>
    </row>
    <row r="15" spans="1:19" hidden="1" x14ac:dyDescent="0.3">
      <c r="A15" s="13" t="str">
        <f>D12</f>
        <v>TRANSFERENCIA</v>
      </c>
      <c r="B15" s="173"/>
      <c r="C15" s="174"/>
      <c r="D15" s="175"/>
      <c r="E15" s="162" t="s">
        <v>113</v>
      </c>
      <c r="F15" s="176" t="s">
        <v>113</v>
      </c>
      <c r="G15" s="177" t="s">
        <v>113</v>
      </c>
      <c r="H15" s="177" t="s">
        <v>113</v>
      </c>
      <c r="I15" s="177" t="s">
        <v>113</v>
      </c>
      <c r="J15" s="177" t="s">
        <v>113</v>
      </c>
      <c r="K15" s="177" t="s">
        <v>113</v>
      </c>
      <c r="L15" s="178" t="s">
        <v>113</v>
      </c>
      <c r="M15" s="179" t="str">
        <f t="shared" si="0"/>
        <v/>
      </c>
      <c r="N15" s="180" t="str">
        <f t="shared" si="1"/>
        <v/>
      </c>
      <c r="O15" s="181" t="str">
        <f t="shared" si="2"/>
        <v/>
      </c>
      <c r="P15" s="182" t="str">
        <f>IF(COUNT(F15:L15)&gt;0,O15*Opcional2GD,"")</f>
        <v/>
      </c>
      <c r="Q15" s="183"/>
      <c r="R15" s="184"/>
      <c r="S15" s="185"/>
    </row>
    <row r="16" spans="1:19" hidden="1" x14ac:dyDescent="0.3">
      <c r="A16" s="13" t="str">
        <f>tblPlanilla[[#This Row],[Club]]</f>
        <v>ESTRELLAS DE ANTIOQUIA</v>
      </c>
      <c r="B16" s="96">
        <v>3</v>
      </c>
      <c r="C16" s="104" t="s">
        <v>137</v>
      </c>
      <c r="D16" s="103" t="s">
        <v>121</v>
      </c>
      <c r="E16" s="89">
        <f>Obligatoria1Cod</f>
        <v>106</v>
      </c>
      <c r="F16" s="112">
        <v>5.2</v>
      </c>
      <c r="G16" s="98">
        <v>5.2</v>
      </c>
      <c r="H16" s="98">
        <v>5.2</v>
      </c>
      <c r="I16" s="98">
        <v>5.3</v>
      </c>
      <c r="J16" s="98">
        <v>4.9000000000000004</v>
      </c>
      <c r="K16" s="98" t="str">
        <f t="shared" ref="K16:K51" si="3">IF(JuecesPanel&gt;=6,"",IF((JuecesPanel+JuecesCalc)&lt;6,"",IF(COUNT(F16:J16)&gt;0,AVERAGE(F16:J16),"")))</f>
        <v/>
      </c>
      <c r="L16" s="98" t="str">
        <f t="shared" ref="L16:L51" si="4">IF(JuecesPanel&gt;=7,"",IF((JuecesPanel+JuecesCalc)&lt;7,"",IF(COUNT(F16:K16)&gt;0,AVERAGE(F16:K16),"")))</f>
        <v/>
      </c>
      <c r="M16" s="97">
        <f t="shared" si="0"/>
        <v>5.3</v>
      </c>
      <c r="N16" s="97">
        <f t="shared" si="1"/>
        <v>4.9000000000000004</v>
      </c>
      <c r="O16" s="105">
        <f t="shared" si="2"/>
        <v>5.200000000000002</v>
      </c>
      <c r="P16" s="138">
        <f>IF(COUNT(F16:L16)&gt;0,O16*Obligatoria1GD,"")</f>
        <v>8.3200000000000038</v>
      </c>
      <c r="Q16" s="144"/>
      <c r="R16" s="141">
        <f>IF(COUNT(F16:L19)&gt;0,SUM(P16:P19),"")</f>
        <v>26.116666666666667</v>
      </c>
      <c r="S16" s="106">
        <f>IF(COUNT(F16:L19)&gt;0,((R16/TotalGD)*10)-SUM(Q16:Q19),0)</f>
        <v>36.273148148148152</v>
      </c>
    </row>
    <row r="17" spans="1:19" hidden="1" x14ac:dyDescent="0.3">
      <c r="A17" s="13" t="str">
        <f>D16</f>
        <v>ESTRELLAS DE ANTIOQUIA</v>
      </c>
      <c r="B17" s="87"/>
      <c r="C17" s="86"/>
      <c r="D17" s="87"/>
      <c r="E17" s="89">
        <f>Obligatoria2Cod</f>
        <v>301</v>
      </c>
      <c r="F17" s="101">
        <v>4.9000000000000004</v>
      </c>
      <c r="G17" s="25">
        <v>4.5</v>
      </c>
      <c r="H17" s="25">
        <v>5.0999999999999996</v>
      </c>
      <c r="I17" s="25">
        <v>4.5999999999999996</v>
      </c>
      <c r="J17" s="25">
        <v>4.7</v>
      </c>
      <c r="K17" s="25" t="str">
        <f t="shared" si="3"/>
        <v/>
      </c>
      <c r="L17" s="25" t="str">
        <f t="shared" si="4"/>
        <v/>
      </c>
      <c r="M17" s="25">
        <f t="shared" si="0"/>
        <v>5.0999999999999996</v>
      </c>
      <c r="N17" s="25">
        <f t="shared" si="1"/>
        <v>4.5</v>
      </c>
      <c r="O17" s="88">
        <f t="shared" si="2"/>
        <v>4.7333333333333334</v>
      </c>
      <c r="P17" s="139">
        <f>IF(COUNT(F17:L17)&gt;0,O17*Obligatoria2GD,"")</f>
        <v>8.9933333333333323</v>
      </c>
      <c r="Q17" s="145"/>
      <c r="R17" s="142"/>
      <c r="S17" s="107"/>
    </row>
    <row r="18" spans="1:19" hidden="1" x14ac:dyDescent="0.3">
      <c r="A18" s="13" t="str">
        <f>D16</f>
        <v>ESTRELLAS DE ANTIOQUIA</v>
      </c>
      <c r="B18" s="87"/>
      <c r="C18" s="86"/>
      <c r="D18" s="87"/>
      <c r="E18" s="89">
        <f>Opcional1Cod</f>
        <v>420</v>
      </c>
      <c r="F18" s="113">
        <v>4.5999999999999996</v>
      </c>
      <c r="G18" s="26">
        <v>4.5999999999999996</v>
      </c>
      <c r="H18" s="26">
        <v>4.3</v>
      </c>
      <c r="I18" s="26">
        <v>5</v>
      </c>
      <c r="J18" s="26">
        <v>4.7</v>
      </c>
      <c r="K18" s="26" t="str">
        <f t="shared" si="3"/>
        <v/>
      </c>
      <c r="L18" s="26" t="str">
        <f t="shared" si="4"/>
        <v/>
      </c>
      <c r="M18" s="25">
        <f t="shared" si="0"/>
        <v>5</v>
      </c>
      <c r="N18" s="25">
        <f t="shared" si="1"/>
        <v>4.3</v>
      </c>
      <c r="O18" s="88">
        <f t="shared" si="2"/>
        <v>4.6333333333333329</v>
      </c>
      <c r="P18" s="139">
        <f>IF(COUNT(F18:L18)&gt;0,O18*Opcional1GD,"")</f>
        <v>8.8033333333333328</v>
      </c>
      <c r="Q18" s="145"/>
      <c r="R18" s="142"/>
      <c r="S18" s="107"/>
    </row>
    <row r="19" spans="1:19" hidden="1" x14ac:dyDescent="0.3">
      <c r="A19" s="13" t="str">
        <f>D16</f>
        <v>ESTRELLAS DE ANTIOQUIA</v>
      </c>
      <c r="B19" s="108"/>
      <c r="C19" s="109"/>
      <c r="D19" s="108"/>
      <c r="E19" s="89">
        <f>Opcional2Cod</f>
        <v>327</v>
      </c>
      <c r="F19" s="102">
        <v>0</v>
      </c>
      <c r="G19" s="99">
        <v>0</v>
      </c>
      <c r="H19" s="99">
        <v>0</v>
      </c>
      <c r="I19" s="99">
        <v>0</v>
      </c>
      <c r="J19" s="99">
        <v>0</v>
      </c>
      <c r="K19" s="99" t="str">
        <f t="shared" si="3"/>
        <v/>
      </c>
      <c r="L19" s="99" t="str">
        <f t="shared" si="4"/>
        <v/>
      </c>
      <c r="M19" s="99">
        <f t="shared" si="0"/>
        <v>0</v>
      </c>
      <c r="N19" s="99">
        <f t="shared" si="1"/>
        <v>0</v>
      </c>
      <c r="O19" s="110">
        <f t="shared" si="2"/>
        <v>0</v>
      </c>
      <c r="P19" s="140">
        <f>IF(COUNT(F19:L19)&gt;0,O19*Opcional2GD,"")</f>
        <v>0</v>
      </c>
      <c r="Q19" s="146"/>
      <c r="R19" s="143"/>
      <c r="S19" s="111"/>
    </row>
    <row r="20" spans="1:19" hidden="1" x14ac:dyDescent="0.3">
      <c r="A20" s="13" t="str">
        <f>tblPlanilla[[#This Row],[Club]]</f>
        <v>SINCROANTIOQUIA NADO</v>
      </c>
      <c r="B20" s="96">
        <v>4</v>
      </c>
      <c r="C20" s="104" t="s">
        <v>138</v>
      </c>
      <c r="D20" s="103" t="s">
        <v>122</v>
      </c>
      <c r="E20" s="89">
        <f>Obligatoria1Cod</f>
        <v>106</v>
      </c>
      <c r="F20" s="112">
        <v>4.2</v>
      </c>
      <c r="G20" s="98">
        <v>3.9</v>
      </c>
      <c r="H20" s="98">
        <v>4</v>
      </c>
      <c r="I20" s="98">
        <v>4.5</v>
      </c>
      <c r="J20" s="98">
        <v>4.3</v>
      </c>
      <c r="K20" s="98" t="str">
        <f t="shared" si="3"/>
        <v/>
      </c>
      <c r="L20" s="98" t="str">
        <f t="shared" si="4"/>
        <v/>
      </c>
      <c r="M20" s="97">
        <f t="shared" si="0"/>
        <v>4.5</v>
      </c>
      <c r="N20" s="97">
        <f t="shared" si="1"/>
        <v>3.9</v>
      </c>
      <c r="O20" s="105">
        <f t="shared" si="2"/>
        <v>4.166666666666667</v>
      </c>
      <c r="P20" s="138">
        <f>IF(COUNT(F20:L20)&gt;0,O20*Obligatoria1GD,"")</f>
        <v>6.6666666666666679</v>
      </c>
      <c r="Q20" s="144"/>
      <c r="R20" s="141">
        <f>IF(COUNT(F20:L23)&gt;0,SUM(P20:P23),"")</f>
        <v>13.823333333333336</v>
      </c>
      <c r="S20" s="106">
        <f>IF(COUNT(F20:L23)&gt;0,((R20/TotalGD)*10)-SUM(Q20:Q23),0)</f>
        <v>19.199074074074076</v>
      </c>
    </row>
    <row r="21" spans="1:19" hidden="1" x14ac:dyDescent="0.3">
      <c r="A21" s="13" t="str">
        <f>D20</f>
        <v>SINCROANTIOQUIA NADO</v>
      </c>
      <c r="B21" s="87"/>
      <c r="C21" s="86"/>
      <c r="D21" s="87"/>
      <c r="E21" s="89">
        <f>Obligatoria2Cod</f>
        <v>301</v>
      </c>
      <c r="F21" s="101">
        <v>3.6</v>
      </c>
      <c r="G21" s="25">
        <v>3.7</v>
      </c>
      <c r="H21" s="25">
        <v>3.8</v>
      </c>
      <c r="I21" s="25">
        <v>3.8</v>
      </c>
      <c r="J21" s="25">
        <v>3.8</v>
      </c>
      <c r="K21" s="25" t="str">
        <f t="shared" si="3"/>
        <v/>
      </c>
      <c r="L21" s="25" t="str">
        <f t="shared" si="4"/>
        <v/>
      </c>
      <c r="M21" s="25">
        <f t="shared" si="0"/>
        <v>3.8</v>
      </c>
      <c r="N21" s="25">
        <f t="shared" si="1"/>
        <v>3.6</v>
      </c>
      <c r="O21" s="88">
        <f t="shared" si="2"/>
        <v>3.7666666666666675</v>
      </c>
      <c r="P21" s="139">
        <f>IF(COUNT(F21:L21)&gt;0,O21*Obligatoria2GD,"")</f>
        <v>7.1566666666666681</v>
      </c>
      <c r="Q21" s="145"/>
      <c r="R21" s="142"/>
      <c r="S21" s="107"/>
    </row>
    <row r="22" spans="1:19" hidden="1" x14ac:dyDescent="0.3">
      <c r="A22" s="13" t="str">
        <f>D20</f>
        <v>SINCROANTIOQUIA NADO</v>
      </c>
      <c r="B22" s="87"/>
      <c r="C22" s="86"/>
      <c r="D22" s="87"/>
      <c r="E22" s="89">
        <f>Opcional1Cod</f>
        <v>420</v>
      </c>
      <c r="F22" s="194"/>
      <c r="G22" s="195"/>
      <c r="H22" s="195" t="str">
        <f>IF(JuecesPanel&gt;=3,"",IF((JuecesPanel+JuecesCalc)&lt;3,"",IF(COUNT(F22:G22)&gt;0,AVERAGE(F22:G22),"")))</f>
        <v/>
      </c>
      <c r="I22" s="195" t="str">
        <f>IF(JuecesPanel&gt;=4,"",IF((JuecesPanel+JuecesCalc)&lt;4,"",IF(COUNT(F22:H22)&gt;0,AVERAGE(F22:H22),"")))</f>
        <v/>
      </c>
      <c r="J22" s="195" t="str">
        <f>IF(JuecesPanel&gt;=5,"",IF((JuecesPanel+JuecesCalc)&lt;5,"",IF(COUNT(F22:I22)&gt;0,AVERAGE(F22:I22),"")))</f>
        <v/>
      </c>
      <c r="K22" s="195" t="str">
        <f t="shared" si="3"/>
        <v/>
      </c>
      <c r="L22" s="195" t="str">
        <f t="shared" si="4"/>
        <v/>
      </c>
      <c r="M22" s="195" t="str">
        <f t="shared" si="0"/>
        <v/>
      </c>
      <c r="N22" s="195" t="str">
        <f t="shared" si="1"/>
        <v/>
      </c>
      <c r="O22" s="196" t="str">
        <f t="shared" si="2"/>
        <v/>
      </c>
      <c r="P22" s="197" t="str">
        <f>IF(COUNT(F22:L22)&gt;0,O22*Opcional1GD,"")</f>
        <v/>
      </c>
      <c r="Q22" s="198"/>
      <c r="R22" s="142"/>
      <c r="S22" s="107"/>
    </row>
    <row r="23" spans="1:19" hidden="1" x14ac:dyDescent="0.3">
      <c r="A23" s="13" t="str">
        <f>D20</f>
        <v>SINCROANTIOQUIA NADO</v>
      </c>
      <c r="B23" s="108"/>
      <c r="C23" s="109"/>
      <c r="D23" s="108"/>
      <c r="E23" s="89">
        <f>Opcional2Cod</f>
        <v>327</v>
      </c>
      <c r="F23" s="199"/>
      <c r="G23" s="200"/>
      <c r="H23" s="200" t="str">
        <f>IF(JuecesPanel&gt;=3,"",IF((JuecesPanel+JuecesCalc)&lt;3,"",IF(COUNT(F23:G23)&gt;0,AVERAGE(F23:G23),"")))</f>
        <v/>
      </c>
      <c r="I23" s="200" t="str">
        <f>IF(JuecesPanel&gt;=4,"",IF((JuecesPanel+JuecesCalc)&lt;4,"",IF(COUNT(F23:H23)&gt;0,AVERAGE(F23:H23),"")))</f>
        <v/>
      </c>
      <c r="J23" s="200" t="str">
        <f>IF(JuecesPanel&gt;=5,"",IF((JuecesPanel+JuecesCalc)&lt;5,"",IF(COUNT(F23:I23)&gt;0,AVERAGE(F23:I23),"")))</f>
        <v/>
      </c>
      <c r="K23" s="200" t="str">
        <f t="shared" si="3"/>
        <v/>
      </c>
      <c r="L23" s="200" t="str">
        <f t="shared" si="4"/>
        <v/>
      </c>
      <c r="M23" s="200" t="str">
        <f t="shared" si="0"/>
        <v/>
      </c>
      <c r="N23" s="200" t="str">
        <f t="shared" si="1"/>
        <v/>
      </c>
      <c r="O23" s="201" t="str">
        <f t="shared" si="2"/>
        <v/>
      </c>
      <c r="P23" s="202" t="str">
        <f>IF(COUNT(F23:L23)&gt;0,O23*Opcional2GD,"")</f>
        <v/>
      </c>
      <c r="Q23" s="203"/>
      <c r="R23" s="143"/>
      <c r="S23" s="111"/>
    </row>
    <row r="24" spans="1:19" x14ac:dyDescent="0.3">
      <c r="A24" s="13" t="str">
        <f>tblPlanilla[[#This Row],[Club]]</f>
        <v>AQUASWIM</v>
      </c>
      <c r="B24" s="96">
        <v>5</v>
      </c>
      <c r="C24" s="104" t="s">
        <v>139</v>
      </c>
      <c r="D24" s="103" t="s">
        <v>114</v>
      </c>
      <c r="E24" s="89">
        <f>Obligatoria1Cod</f>
        <v>106</v>
      </c>
      <c r="F24" s="112">
        <v>3.8</v>
      </c>
      <c r="G24" s="98">
        <v>3.6</v>
      </c>
      <c r="H24" s="98">
        <v>3.8</v>
      </c>
      <c r="I24" s="98">
        <v>4.5999999999999996</v>
      </c>
      <c r="J24" s="98">
        <v>4.4000000000000004</v>
      </c>
      <c r="K24" s="98" t="str">
        <f t="shared" si="3"/>
        <v/>
      </c>
      <c r="L24" s="98" t="str">
        <f t="shared" si="4"/>
        <v/>
      </c>
      <c r="M24" s="97">
        <f t="shared" si="0"/>
        <v>4.5999999999999996</v>
      </c>
      <c r="N24" s="97">
        <f t="shared" si="1"/>
        <v>3.6</v>
      </c>
      <c r="O24" s="105">
        <f t="shared" si="2"/>
        <v>4</v>
      </c>
      <c r="P24" s="138">
        <f>IF(COUNT(F24:L24)&gt;0,O24*Obligatoria1GD,"")</f>
        <v>6.4</v>
      </c>
      <c r="Q24" s="144"/>
      <c r="R24" s="141">
        <f>IF(COUNT(F24:L27)&gt;0,SUM(P24:P27),"")</f>
        <v>28.723333333333333</v>
      </c>
      <c r="S24" s="106">
        <f>IF(COUNT(F24:L27)&gt;0,((R24/TotalGD)*10)-SUM(Q24:Q27),0)</f>
        <v>39.893518518518519</v>
      </c>
    </row>
    <row r="25" spans="1:19" x14ac:dyDescent="0.3">
      <c r="A25" s="13" t="str">
        <f>D24</f>
        <v>AQUASWIM</v>
      </c>
      <c r="B25" s="87"/>
      <c r="C25" s="86"/>
      <c r="D25" s="87"/>
      <c r="E25" s="89">
        <f>Obligatoria2Cod</f>
        <v>301</v>
      </c>
      <c r="F25" s="101">
        <v>3.7</v>
      </c>
      <c r="G25" s="25">
        <v>4.0999999999999996</v>
      </c>
      <c r="H25" s="25">
        <v>4</v>
      </c>
      <c r="I25" s="25">
        <v>4.1399999999999997</v>
      </c>
      <c r="J25" s="25">
        <v>4.0999999999999996</v>
      </c>
      <c r="K25" s="25" t="str">
        <f t="shared" si="3"/>
        <v/>
      </c>
      <c r="L25" s="25" t="str">
        <f t="shared" si="4"/>
        <v/>
      </c>
      <c r="M25" s="25">
        <f t="shared" si="0"/>
        <v>4.1399999999999997</v>
      </c>
      <c r="N25" s="25">
        <f t="shared" si="1"/>
        <v>3.7</v>
      </c>
      <c r="O25" s="88">
        <f t="shared" si="2"/>
        <v>4.0666666666666664</v>
      </c>
      <c r="P25" s="139">
        <f>IF(COUNT(F25:L25)&gt;0,O25*Obligatoria2GD,"")</f>
        <v>7.7266666666666657</v>
      </c>
      <c r="Q25" s="145"/>
      <c r="R25" s="142"/>
      <c r="S25" s="107"/>
    </row>
    <row r="26" spans="1:19" x14ac:dyDescent="0.3">
      <c r="A26" s="13" t="str">
        <f>D24</f>
        <v>AQUASWIM</v>
      </c>
      <c r="B26" s="87"/>
      <c r="C26" s="86"/>
      <c r="D26" s="87"/>
      <c r="E26" s="89">
        <f>Opcional1Cod</f>
        <v>420</v>
      </c>
      <c r="F26" s="113">
        <v>4.2</v>
      </c>
      <c r="G26" s="26">
        <v>3.5</v>
      </c>
      <c r="H26" s="26">
        <v>3.4</v>
      </c>
      <c r="I26" s="26">
        <v>3.8</v>
      </c>
      <c r="J26" s="26">
        <v>4</v>
      </c>
      <c r="K26" s="26" t="str">
        <f t="shared" si="3"/>
        <v/>
      </c>
      <c r="L26" s="26" t="str">
        <f t="shared" si="4"/>
        <v/>
      </c>
      <c r="M26" s="25">
        <f t="shared" si="0"/>
        <v>4.2</v>
      </c>
      <c r="N26" s="25">
        <f t="shared" si="1"/>
        <v>3.4</v>
      </c>
      <c r="O26" s="88">
        <f t="shared" si="2"/>
        <v>3.7666666666666662</v>
      </c>
      <c r="P26" s="139">
        <f>IF(COUNT(F26:L26)&gt;0,O26*Opcional1GD,"")</f>
        <v>7.1566666666666654</v>
      </c>
      <c r="Q26" s="145"/>
      <c r="R26" s="142"/>
      <c r="S26" s="107"/>
    </row>
    <row r="27" spans="1:19" x14ac:dyDescent="0.3">
      <c r="A27" s="13" t="str">
        <f>D24</f>
        <v>AQUASWIM</v>
      </c>
      <c r="B27" s="108"/>
      <c r="C27" s="109"/>
      <c r="D27" s="108"/>
      <c r="E27" s="89">
        <f>Opcional2Cod</f>
        <v>327</v>
      </c>
      <c r="F27" s="102">
        <v>4.2</v>
      </c>
      <c r="G27" s="99">
        <v>4.4000000000000004</v>
      </c>
      <c r="H27" s="99">
        <v>4.2</v>
      </c>
      <c r="I27" s="99">
        <v>4</v>
      </c>
      <c r="J27" s="99">
        <v>3.5</v>
      </c>
      <c r="K27" s="99" t="str">
        <f t="shared" si="3"/>
        <v/>
      </c>
      <c r="L27" s="99" t="str">
        <f t="shared" si="4"/>
        <v/>
      </c>
      <c r="M27" s="99">
        <f t="shared" si="0"/>
        <v>4.4000000000000004</v>
      </c>
      <c r="N27" s="99">
        <f t="shared" si="1"/>
        <v>3.5</v>
      </c>
      <c r="O27" s="110">
        <f t="shared" si="2"/>
        <v>4.1333333333333337</v>
      </c>
      <c r="P27" s="140">
        <f>IF(COUNT(F27:L27)&gt;0,O27*Opcional2GD,"")</f>
        <v>7.4400000000000013</v>
      </c>
      <c r="Q27" s="146"/>
      <c r="R27" s="143"/>
      <c r="S27" s="111"/>
    </row>
    <row r="28" spans="1:19" hidden="1" x14ac:dyDescent="0.3">
      <c r="A28" s="13" t="str">
        <f>tblPlanilla[[#This Row],[Club]]</f>
        <v>SELECCIÃ“N ANTIOQUIA</v>
      </c>
      <c r="B28" s="96">
        <v>6</v>
      </c>
      <c r="C28" s="104" t="s">
        <v>140</v>
      </c>
      <c r="D28" s="103" t="s">
        <v>123</v>
      </c>
      <c r="E28" s="89">
        <f>Obligatoria1Cod</f>
        <v>106</v>
      </c>
      <c r="F28" s="112">
        <v>5</v>
      </c>
      <c r="G28" s="98">
        <v>4.5999999999999996</v>
      </c>
      <c r="H28" s="98">
        <v>5.6</v>
      </c>
      <c r="I28" s="98">
        <v>5.7</v>
      </c>
      <c r="J28" s="98">
        <v>5.5</v>
      </c>
      <c r="K28" s="98" t="str">
        <f t="shared" si="3"/>
        <v/>
      </c>
      <c r="L28" s="98" t="str">
        <f t="shared" si="4"/>
        <v/>
      </c>
      <c r="M28" s="97">
        <f t="shared" si="0"/>
        <v>5.7</v>
      </c>
      <c r="N28" s="97">
        <f t="shared" si="1"/>
        <v>4.5999999999999996</v>
      </c>
      <c r="O28" s="105">
        <f t="shared" si="2"/>
        <v>5.3666666666666663</v>
      </c>
      <c r="P28" s="138">
        <f>IF(COUNT(F28:L28)&gt;0,O28*Obligatoria1GD,"")</f>
        <v>8.586666666666666</v>
      </c>
      <c r="Q28" s="144"/>
      <c r="R28" s="141">
        <f>IF(COUNT(F28:L31)&gt;0,SUM(P28:P31),"")</f>
        <v>38.79</v>
      </c>
      <c r="S28" s="106">
        <f>IF(COUNT(F28:L31)&gt;0,((R28/TotalGD)*10)-SUM(Q28:Q31),0)</f>
        <v>53.875</v>
      </c>
    </row>
    <row r="29" spans="1:19" hidden="1" x14ac:dyDescent="0.3">
      <c r="A29" s="13" t="str">
        <f>D28</f>
        <v>SELECCIÃ“N ANTIOQUIA</v>
      </c>
      <c r="B29" s="87"/>
      <c r="C29" s="86"/>
      <c r="D29" s="87"/>
      <c r="E29" s="89">
        <f>Obligatoria2Cod</f>
        <v>301</v>
      </c>
      <c r="F29" s="101">
        <v>5.6</v>
      </c>
      <c r="G29" s="25">
        <v>5.6</v>
      </c>
      <c r="H29" s="25">
        <v>5.8</v>
      </c>
      <c r="I29" s="25">
        <v>5.3</v>
      </c>
      <c r="J29" s="25">
        <v>5.7</v>
      </c>
      <c r="K29" s="25" t="str">
        <f t="shared" si="3"/>
        <v/>
      </c>
      <c r="L29" s="25" t="str">
        <f t="shared" si="4"/>
        <v/>
      </c>
      <c r="M29" s="25">
        <f t="shared" si="0"/>
        <v>5.8</v>
      </c>
      <c r="N29" s="25">
        <f t="shared" si="1"/>
        <v>5.3</v>
      </c>
      <c r="O29" s="88">
        <f t="shared" si="2"/>
        <v>5.6333333333333329</v>
      </c>
      <c r="P29" s="139">
        <f>IF(COUNT(F29:L29)&gt;0,O29*Obligatoria2GD,"")</f>
        <v>10.703333333333331</v>
      </c>
      <c r="Q29" s="145"/>
      <c r="R29" s="142"/>
      <c r="S29" s="107"/>
    </row>
    <row r="30" spans="1:19" hidden="1" x14ac:dyDescent="0.3">
      <c r="A30" s="13" t="str">
        <f>D28</f>
        <v>SELECCIÃ“N ANTIOQUIA</v>
      </c>
      <c r="B30" s="87"/>
      <c r="C30" s="86"/>
      <c r="D30" s="87"/>
      <c r="E30" s="89">
        <f>Opcional1Cod</f>
        <v>420</v>
      </c>
      <c r="F30" s="113">
        <v>5.5</v>
      </c>
      <c r="G30" s="26">
        <v>5</v>
      </c>
      <c r="H30" s="26">
        <v>5.2</v>
      </c>
      <c r="I30" s="26">
        <v>5.5</v>
      </c>
      <c r="J30" s="26">
        <v>5.8</v>
      </c>
      <c r="K30" s="26" t="str">
        <f t="shared" si="3"/>
        <v/>
      </c>
      <c r="L30" s="26" t="str">
        <f t="shared" si="4"/>
        <v/>
      </c>
      <c r="M30" s="25">
        <f t="shared" si="0"/>
        <v>5.8</v>
      </c>
      <c r="N30" s="25">
        <f t="shared" si="1"/>
        <v>5</v>
      </c>
      <c r="O30" s="88">
        <f t="shared" si="2"/>
        <v>5.3999999999999995</v>
      </c>
      <c r="P30" s="139">
        <f>IF(COUNT(F30:L30)&gt;0,O30*Opcional1GD,"")</f>
        <v>10.259999999999998</v>
      </c>
      <c r="Q30" s="145"/>
      <c r="R30" s="142"/>
      <c r="S30" s="107"/>
    </row>
    <row r="31" spans="1:19" hidden="1" x14ac:dyDescent="0.3">
      <c r="A31" s="13" t="str">
        <f>D28</f>
        <v>SELECCIÃ“N ANTIOQUIA</v>
      </c>
      <c r="B31" s="108"/>
      <c r="C31" s="109"/>
      <c r="D31" s="108"/>
      <c r="E31" s="89">
        <f>Opcional2Cod</f>
        <v>327</v>
      </c>
      <c r="F31" s="102">
        <v>4.8</v>
      </c>
      <c r="G31" s="99">
        <v>4.7</v>
      </c>
      <c r="H31" s="99">
        <v>5.3</v>
      </c>
      <c r="I31" s="99">
        <v>5.3</v>
      </c>
      <c r="J31" s="99">
        <v>5.3</v>
      </c>
      <c r="K31" s="99" t="str">
        <f t="shared" si="3"/>
        <v/>
      </c>
      <c r="L31" s="99" t="str">
        <f t="shared" si="4"/>
        <v/>
      </c>
      <c r="M31" s="99">
        <f t="shared" si="0"/>
        <v>5.3</v>
      </c>
      <c r="N31" s="99">
        <f t="shared" si="1"/>
        <v>4.7</v>
      </c>
      <c r="O31" s="110">
        <f t="shared" si="2"/>
        <v>5.1333333333333337</v>
      </c>
      <c r="P31" s="140">
        <f>IF(COUNT(F31:L31)&gt;0,O31*Opcional2GD,"")</f>
        <v>9.24</v>
      </c>
      <c r="Q31" s="146"/>
      <c r="R31" s="143"/>
      <c r="S31" s="111"/>
    </row>
    <row r="32" spans="1:19" hidden="1" x14ac:dyDescent="0.3">
      <c r="A32" s="13" t="str">
        <f>tblPlanilla[[#This Row],[Club]]</f>
        <v>SINCROANTIOQUIA NADO</v>
      </c>
      <c r="B32" s="96">
        <v>7</v>
      </c>
      <c r="C32" s="104" t="s">
        <v>141</v>
      </c>
      <c r="D32" s="103" t="s">
        <v>122</v>
      </c>
      <c r="E32" s="89">
        <f>Obligatoria1Cod</f>
        <v>106</v>
      </c>
      <c r="F32" s="112">
        <v>4.7</v>
      </c>
      <c r="G32" s="98">
        <v>4.8</v>
      </c>
      <c r="H32" s="98">
        <v>4.7</v>
      </c>
      <c r="I32" s="98">
        <v>4.9000000000000004</v>
      </c>
      <c r="J32" s="98">
        <v>4.7</v>
      </c>
      <c r="K32" s="98" t="str">
        <f t="shared" si="3"/>
        <v/>
      </c>
      <c r="L32" s="98" t="str">
        <f t="shared" si="4"/>
        <v/>
      </c>
      <c r="M32" s="97">
        <f t="shared" si="0"/>
        <v>4.9000000000000004</v>
      </c>
      <c r="N32" s="97">
        <f t="shared" si="1"/>
        <v>4.7</v>
      </c>
      <c r="O32" s="105">
        <f t="shared" si="2"/>
        <v>4.7333333333333334</v>
      </c>
      <c r="P32" s="138">
        <f>IF(COUNT(F32:L32)&gt;0,O32*Obligatoria1GD,"")</f>
        <v>7.5733333333333341</v>
      </c>
      <c r="Q32" s="144"/>
      <c r="R32" s="141">
        <f>IF(COUNT(F32:L35)&gt;0,SUM(P32:P35),"")</f>
        <v>31.523333333333333</v>
      </c>
      <c r="S32" s="106">
        <f>IF(COUNT(F32:L35)&gt;0,((R32/TotalGD)*10)-SUM(Q32:Q35),0)</f>
        <v>43.782407407407405</v>
      </c>
    </row>
    <row r="33" spans="1:19" hidden="1" x14ac:dyDescent="0.3">
      <c r="A33" s="13" t="str">
        <f>D32</f>
        <v>SINCROANTIOQUIA NADO</v>
      </c>
      <c r="B33" s="87"/>
      <c r="C33" s="86"/>
      <c r="D33" s="87"/>
      <c r="E33" s="89">
        <f>Obligatoria2Cod</f>
        <v>301</v>
      </c>
      <c r="F33" s="101">
        <v>4.4000000000000004</v>
      </c>
      <c r="G33" s="25">
        <v>4</v>
      </c>
      <c r="H33" s="25">
        <v>4.3</v>
      </c>
      <c r="I33" s="25">
        <v>4.3</v>
      </c>
      <c r="J33" s="25">
        <v>4.9000000000000004</v>
      </c>
      <c r="K33" s="25" t="str">
        <f t="shared" si="3"/>
        <v/>
      </c>
      <c r="L33" s="25" t="str">
        <f t="shared" si="4"/>
        <v/>
      </c>
      <c r="M33" s="25">
        <f t="shared" si="0"/>
        <v>4.9000000000000004</v>
      </c>
      <c r="N33" s="25">
        <f t="shared" si="1"/>
        <v>4</v>
      </c>
      <c r="O33" s="88">
        <f t="shared" si="2"/>
        <v>4.333333333333333</v>
      </c>
      <c r="P33" s="139">
        <f>IF(COUNT(F33:L33)&gt;0,O33*Obligatoria2GD,"")</f>
        <v>8.2333333333333325</v>
      </c>
      <c r="Q33" s="145"/>
      <c r="R33" s="142"/>
      <c r="S33" s="107"/>
    </row>
    <row r="34" spans="1:19" hidden="1" x14ac:dyDescent="0.3">
      <c r="A34" s="13" t="str">
        <f>D32</f>
        <v>SINCROANTIOQUIA NADO</v>
      </c>
      <c r="B34" s="87"/>
      <c r="C34" s="86"/>
      <c r="D34" s="87"/>
      <c r="E34" s="89">
        <f>Opcional1Cod</f>
        <v>420</v>
      </c>
      <c r="F34" s="113">
        <v>4.0999999999999996</v>
      </c>
      <c r="G34" s="26">
        <v>3.9</v>
      </c>
      <c r="H34" s="26">
        <v>3.5</v>
      </c>
      <c r="I34" s="26">
        <v>4.5</v>
      </c>
      <c r="J34" s="26">
        <v>4.5</v>
      </c>
      <c r="K34" s="26" t="str">
        <f t="shared" si="3"/>
        <v/>
      </c>
      <c r="L34" s="26" t="str">
        <f t="shared" si="4"/>
        <v/>
      </c>
      <c r="M34" s="25">
        <f t="shared" si="0"/>
        <v>4.5</v>
      </c>
      <c r="N34" s="25">
        <f t="shared" si="1"/>
        <v>3.5</v>
      </c>
      <c r="O34" s="88">
        <f t="shared" si="2"/>
        <v>4.166666666666667</v>
      </c>
      <c r="P34" s="139">
        <f>IF(COUNT(F34:L34)&gt;0,O34*Opcional1GD,"")</f>
        <v>7.916666666666667</v>
      </c>
      <c r="Q34" s="145"/>
      <c r="R34" s="142"/>
      <c r="S34" s="107"/>
    </row>
    <row r="35" spans="1:19" hidden="1" x14ac:dyDescent="0.3">
      <c r="A35" s="13" t="str">
        <f>D32</f>
        <v>SINCROANTIOQUIA NADO</v>
      </c>
      <c r="B35" s="108"/>
      <c r="C35" s="109"/>
      <c r="D35" s="108"/>
      <c r="E35" s="89">
        <f>Opcional2Cod</f>
        <v>327</v>
      </c>
      <c r="F35" s="102">
        <v>4.4000000000000004</v>
      </c>
      <c r="G35" s="99">
        <v>4.0999999999999996</v>
      </c>
      <c r="H35" s="99">
        <v>4.3</v>
      </c>
      <c r="I35" s="99">
        <v>4.3</v>
      </c>
      <c r="J35" s="99">
        <v>4.5</v>
      </c>
      <c r="K35" s="99" t="str">
        <f t="shared" si="3"/>
        <v/>
      </c>
      <c r="L35" s="99" t="str">
        <f t="shared" si="4"/>
        <v/>
      </c>
      <c r="M35" s="99">
        <f t="shared" si="0"/>
        <v>4.5</v>
      </c>
      <c r="N35" s="99">
        <f t="shared" si="1"/>
        <v>4.0999999999999996</v>
      </c>
      <c r="O35" s="110">
        <f t="shared" si="2"/>
        <v>4.3333333333333339</v>
      </c>
      <c r="P35" s="140">
        <f>IF(COUNT(F35:L35)&gt;0,O35*Opcional2GD,"")</f>
        <v>7.8000000000000016</v>
      </c>
      <c r="Q35" s="146"/>
      <c r="R35" s="143"/>
      <c r="S35" s="111"/>
    </row>
    <row r="36" spans="1:19" hidden="1" x14ac:dyDescent="0.3">
      <c r="A36" s="13" t="str">
        <f>tblPlanilla[[#This Row],[Club]]</f>
        <v>SELECCIÃ“N ANTIOQUIA</v>
      </c>
      <c r="B36" s="96">
        <v>8</v>
      </c>
      <c r="C36" s="104" t="s">
        <v>142</v>
      </c>
      <c r="D36" s="103" t="s">
        <v>123</v>
      </c>
      <c r="E36" s="89">
        <f>Obligatoria1Cod</f>
        <v>106</v>
      </c>
      <c r="F36" s="112">
        <v>5.6</v>
      </c>
      <c r="G36" s="98">
        <v>4.5</v>
      </c>
      <c r="H36" s="98">
        <v>5.4</v>
      </c>
      <c r="I36" s="98">
        <v>5.8</v>
      </c>
      <c r="J36" s="98">
        <v>5.4</v>
      </c>
      <c r="K36" s="98" t="str">
        <f t="shared" si="3"/>
        <v/>
      </c>
      <c r="L36" s="98" t="str">
        <f t="shared" si="4"/>
        <v/>
      </c>
      <c r="M36" s="97">
        <f t="shared" si="0"/>
        <v>5.8</v>
      </c>
      <c r="N36" s="97">
        <f t="shared" si="1"/>
        <v>4.5</v>
      </c>
      <c r="O36" s="105">
        <f t="shared" si="2"/>
        <v>5.4666666666666677</v>
      </c>
      <c r="P36" s="138">
        <f>IF(COUNT(F36:L36)&gt;0,O36*Obligatoria1GD,"")</f>
        <v>8.7466666666666679</v>
      </c>
      <c r="Q36" s="144"/>
      <c r="R36" s="141">
        <f>IF(COUNT(F36:L39)&gt;0,SUM(P36:P39),"")</f>
        <v>38.360000000000007</v>
      </c>
      <c r="S36" s="106">
        <f>IF(COUNT(F36:L39)&gt;0,((R36/TotalGD)*10)-SUM(Q36:Q39),0)</f>
        <v>53.277777777777786</v>
      </c>
    </row>
    <row r="37" spans="1:19" hidden="1" x14ac:dyDescent="0.3">
      <c r="A37" s="13" t="str">
        <f>D36</f>
        <v>SELECCIÃ“N ANTIOQUIA</v>
      </c>
      <c r="B37" s="87"/>
      <c r="C37" s="86"/>
      <c r="D37" s="87"/>
      <c r="E37" s="89">
        <f>Obligatoria2Cod</f>
        <v>301</v>
      </c>
      <c r="F37" s="101">
        <v>5.2</v>
      </c>
      <c r="G37" s="25">
        <v>4.4000000000000004</v>
      </c>
      <c r="H37" s="25">
        <v>5.6</v>
      </c>
      <c r="I37" s="25">
        <v>6</v>
      </c>
      <c r="J37" s="25">
        <v>5.9</v>
      </c>
      <c r="K37" s="25" t="str">
        <f t="shared" si="3"/>
        <v/>
      </c>
      <c r="L37" s="25" t="str">
        <f t="shared" si="4"/>
        <v/>
      </c>
      <c r="M37" s="25">
        <f t="shared" si="0"/>
        <v>6</v>
      </c>
      <c r="N37" s="25">
        <f t="shared" si="1"/>
        <v>4.4000000000000004</v>
      </c>
      <c r="O37" s="88">
        <f t="shared" si="2"/>
        <v>5.5666666666666673</v>
      </c>
      <c r="P37" s="139">
        <f>IF(COUNT(F37:L37)&gt;0,O37*Obligatoria2GD,"")</f>
        <v>10.576666666666668</v>
      </c>
      <c r="Q37" s="145"/>
      <c r="R37" s="142"/>
      <c r="S37" s="107"/>
    </row>
    <row r="38" spans="1:19" hidden="1" x14ac:dyDescent="0.3">
      <c r="A38" s="13" t="str">
        <f>D36</f>
        <v>SELECCIÃ“N ANTIOQUIA</v>
      </c>
      <c r="B38" s="87"/>
      <c r="C38" s="86"/>
      <c r="D38" s="87"/>
      <c r="E38" s="89">
        <f>Opcional1Cod</f>
        <v>420</v>
      </c>
      <c r="F38" s="113">
        <v>4.3</v>
      </c>
      <c r="G38" s="26">
        <v>5.0999999999999996</v>
      </c>
      <c r="H38" s="26">
        <v>4.8</v>
      </c>
      <c r="I38" s="26">
        <v>5</v>
      </c>
      <c r="J38" s="26">
        <v>5.2</v>
      </c>
      <c r="K38" s="26" t="str">
        <f t="shared" si="3"/>
        <v/>
      </c>
      <c r="L38" s="26" t="str">
        <f t="shared" si="4"/>
        <v/>
      </c>
      <c r="M38" s="25">
        <f t="shared" si="0"/>
        <v>5.2</v>
      </c>
      <c r="N38" s="25">
        <f t="shared" si="1"/>
        <v>4.3</v>
      </c>
      <c r="O38" s="88">
        <f t="shared" si="2"/>
        <v>4.9666666666666659</v>
      </c>
      <c r="P38" s="139">
        <f>IF(COUNT(F38:L38)&gt;0,O38*Opcional1GD,"")</f>
        <v>9.4366666666666656</v>
      </c>
      <c r="Q38" s="145"/>
      <c r="R38" s="142"/>
      <c r="S38" s="107"/>
    </row>
    <row r="39" spans="1:19" hidden="1" x14ac:dyDescent="0.3">
      <c r="A39" s="13" t="str">
        <f>D36</f>
        <v>SELECCIÃ“N ANTIOQUIA</v>
      </c>
      <c r="B39" s="108"/>
      <c r="C39" s="109"/>
      <c r="D39" s="108"/>
      <c r="E39" s="89">
        <f>Opcional2Cod</f>
        <v>327</v>
      </c>
      <c r="F39" s="102">
        <v>4.9000000000000004</v>
      </c>
      <c r="G39" s="99">
        <v>4.4000000000000004</v>
      </c>
      <c r="H39" s="99">
        <v>5.4</v>
      </c>
      <c r="I39" s="99">
        <v>5.7</v>
      </c>
      <c r="J39" s="99">
        <v>5.8</v>
      </c>
      <c r="K39" s="99" t="str">
        <f t="shared" si="3"/>
        <v/>
      </c>
      <c r="L39" s="99" t="str">
        <f t="shared" si="4"/>
        <v/>
      </c>
      <c r="M39" s="99">
        <f t="shared" si="0"/>
        <v>5.8</v>
      </c>
      <c r="N39" s="99">
        <f t="shared" si="1"/>
        <v>4.4000000000000004</v>
      </c>
      <c r="O39" s="110">
        <f t="shared" si="2"/>
        <v>5.3333333333333348</v>
      </c>
      <c r="P39" s="140">
        <f>IF(COUNT(F39:L39)&gt;0,O39*Opcional2GD,"")</f>
        <v>9.6000000000000032</v>
      </c>
      <c r="Q39" s="146"/>
      <c r="R39" s="143"/>
      <c r="S39" s="111"/>
    </row>
    <row r="40" spans="1:19" hidden="1" x14ac:dyDescent="0.3">
      <c r="A40" s="13" t="str">
        <f>tblPlanilla[[#This Row],[Club]]</f>
        <v>SELECCIÃ“N ANTIOQUIA</v>
      </c>
      <c r="B40" s="96">
        <v>9</v>
      </c>
      <c r="C40" s="104" t="s">
        <v>143</v>
      </c>
      <c r="D40" s="103" t="s">
        <v>123</v>
      </c>
      <c r="E40" s="89">
        <f>Obligatoria1Cod</f>
        <v>106</v>
      </c>
      <c r="F40" s="112">
        <v>5.3</v>
      </c>
      <c r="G40" s="98">
        <v>5</v>
      </c>
      <c r="H40" s="98">
        <v>5.0999999999999996</v>
      </c>
      <c r="I40" s="98">
        <v>5.4</v>
      </c>
      <c r="J40" s="98">
        <v>5.0999999999999996</v>
      </c>
      <c r="K40" s="98" t="str">
        <f t="shared" si="3"/>
        <v/>
      </c>
      <c r="L40" s="98" t="str">
        <f t="shared" si="4"/>
        <v/>
      </c>
      <c r="M40" s="97">
        <f t="shared" ref="M40:M71" si="5">IF(COUNT(F40:L40)&gt;4,MAX(F40:L40),"")</f>
        <v>5.4</v>
      </c>
      <c r="N40" s="97">
        <f t="shared" ref="N40:N71" si="6">IF(COUNT(F40:L40)&gt;4,MIN(F40:L40),"")</f>
        <v>5</v>
      </c>
      <c r="O40" s="105">
        <f t="shared" ref="O40:O71" si="7">IF(COUNT(F40:L40)&gt;0,(SUM(F40:L40)-( SUM(M40:N40)  ))/(IF(COUNT(F40:L40)&gt;4,COUNT(F40:L40)-2,COUNT(F40:L40))),"")</f>
        <v>5.1666666666666661</v>
      </c>
      <c r="P40" s="138">
        <f>IF(COUNT(F40:L40)&gt;0,O40*Obligatoria1GD,"")</f>
        <v>8.2666666666666657</v>
      </c>
      <c r="Q40" s="144"/>
      <c r="R40" s="141">
        <f>IF(COUNT(F40:L43)&gt;0,SUM(P40:P43),"")</f>
        <v>37.569999999999993</v>
      </c>
      <c r="S40" s="106">
        <f>IF(COUNT(F40:L43)&gt;0,((R40/TotalGD)*10)-SUM(Q40:Q43),0)</f>
        <v>52.180555555555543</v>
      </c>
    </row>
    <row r="41" spans="1:19" hidden="1" x14ac:dyDescent="0.3">
      <c r="A41" s="13" t="str">
        <f>D40</f>
        <v>SELECCIÃ“N ANTIOQUIA</v>
      </c>
      <c r="B41" s="87"/>
      <c r="C41" s="86"/>
      <c r="D41" s="87"/>
      <c r="E41" s="89">
        <f>Obligatoria2Cod</f>
        <v>301</v>
      </c>
      <c r="F41" s="101">
        <v>5.0999999999999996</v>
      </c>
      <c r="G41" s="25">
        <v>5.3</v>
      </c>
      <c r="H41" s="25">
        <v>5.4</v>
      </c>
      <c r="I41" s="25">
        <v>5.6</v>
      </c>
      <c r="J41" s="25">
        <v>5.6</v>
      </c>
      <c r="K41" s="25" t="str">
        <f t="shared" si="3"/>
        <v/>
      </c>
      <c r="L41" s="25" t="str">
        <f t="shared" si="4"/>
        <v/>
      </c>
      <c r="M41" s="25">
        <f t="shared" si="5"/>
        <v>5.6</v>
      </c>
      <c r="N41" s="25">
        <f t="shared" si="6"/>
        <v>5.0999999999999996</v>
      </c>
      <c r="O41" s="88">
        <f t="shared" si="7"/>
        <v>5.4333333333333336</v>
      </c>
      <c r="P41" s="139">
        <f>IF(COUNT(F41:L41)&gt;0,O41*Obligatoria2GD,"")</f>
        <v>10.323333333333334</v>
      </c>
      <c r="Q41" s="145"/>
      <c r="R41" s="142"/>
      <c r="S41" s="107"/>
    </row>
    <row r="42" spans="1:19" hidden="1" x14ac:dyDescent="0.3">
      <c r="A42" s="13" t="str">
        <f>D40</f>
        <v>SELECCIÃ“N ANTIOQUIA</v>
      </c>
      <c r="B42" s="87"/>
      <c r="C42" s="86"/>
      <c r="D42" s="87"/>
      <c r="E42" s="89">
        <f>Opcional1Cod</f>
        <v>420</v>
      </c>
      <c r="F42" s="113">
        <v>5.0999999999999996</v>
      </c>
      <c r="G42" s="26">
        <v>4.5999999999999996</v>
      </c>
      <c r="H42" s="26">
        <v>5</v>
      </c>
      <c r="I42" s="26">
        <v>5.7</v>
      </c>
      <c r="J42" s="26">
        <v>4.9000000000000004</v>
      </c>
      <c r="K42" s="26" t="str">
        <f t="shared" si="3"/>
        <v/>
      </c>
      <c r="L42" s="26" t="str">
        <f t="shared" si="4"/>
        <v/>
      </c>
      <c r="M42" s="25">
        <f t="shared" si="5"/>
        <v>5.7</v>
      </c>
      <c r="N42" s="25">
        <f t="shared" si="6"/>
        <v>4.5999999999999996</v>
      </c>
      <c r="O42" s="88">
        <f t="shared" si="7"/>
        <v>4.9999999999999991</v>
      </c>
      <c r="P42" s="139">
        <f>IF(COUNT(F42:L42)&gt;0,O42*Opcional1GD,"")</f>
        <v>9.4999999999999982</v>
      </c>
      <c r="Q42" s="145"/>
      <c r="R42" s="142"/>
      <c r="S42" s="107"/>
    </row>
    <row r="43" spans="1:19" hidden="1" x14ac:dyDescent="0.3">
      <c r="A43" s="13" t="str">
        <f>D40</f>
        <v>SELECCIÃ“N ANTIOQUIA</v>
      </c>
      <c r="B43" s="108"/>
      <c r="C43" s="109"/>
      <c r="D43" s="108"/>
      <c r="E43" s="89">
        <f>Opcional2Cod</f>
        <v>327</v>
      </c>
      <c r="F43" s="102">
        <v>5.6</v>
      </c>
      <c r="G43" s="99">
        <v>4.5999999999999996</v>
      </c>
      <c r="H43" s="99">
        <v>5.2</v>
      </c>
      <c r="I43" s="99">
        <v>6</v>
      </c>
      <c r="J43" s="99">
        <v>5</v>
      </c>
      <c r="K43" s="99" t="str">
        <f t="shared" si="3"/>
        <v/>
      </c>
      <c r="L43" s="99" t="str">
        <f t="shared" si="4"/>
        <v/>
      </c>
      <c r="M43" s="99">
        <f t="shared" si="5"/>
        <v>6</v>
      </c>
      <c r="N43" s="99">
        <f t="shared" si="6"/>
        <v>4.5999999999999996</v>
      </c>
      <c r="O43" s="110">
        <f t="shared" si="7"/>
        <v>5.2666666666666666</v>
      </c>
      <c r="P43" s="140">
        <f>IF(COUNT(F43:L43)&gt;0,O43*Opcional2GD,"")</f>
        <v>9.48</v>
      </c>
      <c r="Q43" s="146"/>
      <c r="R43" s="143"/>
      <c r="S43" s="111"/>
    </row>
    <row r="44" spans="1:19" hidden="1" x14ac:dyDescent="0.3">
      <c r="A44" s="13" t="str">
        <f>tblPlanilla[[#This Row],[Club]]</f>
        <v>ESTRELLAS DE ANTIOQUIA</v>
      </c>
      <c r="B44" s="96">
        <v>10</v>
      </c>
      <c r="C44" s="104" t="s">
        <v>144</v>
      </c>
      <c r="D44" s="103" t="s">
        <v>121</v>
      </c>
      <c r="E44" s="89">
        <f>Obligatoria1Cod</f>
        <v>106</v>
      </c>
      <c r="F44" s="112">
        <v>4.7</v>
      </c>
      <c r="G44" s="98">
        <v>5.3</v>
      </c>
      <c r="H44" s="98">
        <v>4.5999999999999996</v>
      </c>
      <c r="I44" s="98">
        <v>5.0999999999999996</v>
      </c>
      <c r="J44" s="98">
        <v>4.7</v>
      </c>
      <c r="K44" s="98" t="str">
        <f t="shared" si="3"/>
        <v/>
      </c>
      <c r="L44" s="98" t="str">
        <f t="shared" si="4"/>
        <v/>
      </c>
      <c r="M44" s="97">
        <f t="shared" si="5"/>
        <v>5.3</v>
      </c>
      <c r="N44" s="97">
        <f t="shared" si="6"/>
        <v>4.5999999999999996</v>
      </c>
      <c r="O44" s="105">
        <f t="shared" si="7"/>
        <v>4.833333333333333</v>
      </c>
      <c r="P44" s="138">
        <f>IF(COUNT(F44:L44)&gt;0,O44*Obligatoria1GD,"")</f>
        <v>7.7333333333333334</v>
      </c>
      <c r="Q44" s="144"/>
      <c r="R44" s="141">
        <f>IF(COUNT(F44:L47)&gt;0,SUM(P44:P47),"")</f>
        <v>32.993333333333332</v>
      </c>
      <c r="S44" s="106">
        <f>IF(COUNT(F44:L47)&gt;0,((R44/TotalGD)*10)-SUM(Q44:Q47),0)</f>
        <v>45.824074074074076</v>
      </c>
    </row>
    <row r="45" spans="1:19" hidden="1" x14ac:dyDescent="0.3">
      <c r="A45" s="13" t="str">
        <f>D44</f>
        <v>ESTRELLAS DE ANTIOQUIA</v>
      </c>
      <c r="B45" s="87"/>
      <c r="C45" s="86"/>
      <c r="D45" s="87"/>
      <c r="E45" s="89">
        <f>Obligatoria2Cod</f>
        <v>301</v>
      </c>
      <c r="F45" s="101">
        <v>4.9000000000000004</v>
      </c>
      <c r="G45" s="25">
        <v>4</v>
      </c>
      <c r="H45" s="25">
        <v>4.5999999999999996</v>
      </c>
      <c r="I45" s="25">
        <v>4.5</v>
      </c>
      <c r="J45" s="25">
        <v>4.8</v>
      </c>
      <c r="K45" s="25" t="str">
        <f t="shared" si="3"/>
        <v/>
      </c>
      <c r="L45" s="25" t="str">
        <f t="shared" si="4"/>
        <v/>
      </c>
      <c r="M45" s="25">
        <f t="shared" si="5"/>
        <v>4.9000000000000004</v>
      </c>
      <c r="N45" s="25">
        <f t="shared" si="6"/>
        <v>4</v>
      </c>
      <c r="O45" s="88">
        <f t="shared" si="7"/>
        <v>4.6333333333333337</v>
      </c>
      <c r="P45" s="139">
        <f>IF(COUNT(F45:L45)&gt;0,O45*Obligatoria2GD,"")</f>
        <v>8.8033333333333346</v>
      </c>
      <c r="Q45" s="145"/>
      <c r="R45" s="142"/>
      <c r="S45" s="107"/>
    </row>
    <row r="46" spans="1:19" hidden="1" x14ac:dyDescent="0.3">
      <c r="A46" s="13" t="str">
        <f>D44</f>
        <v>ESTRELLAS DE ANTIOQUIA</v>
      </c>
      <c r="B46" s="87"/>
      <c r="C46" s="86"/>
      <c r="D46" s="87"/>
      <c r="E46" s="89">
        <f>Opcional1Cod</f>
        <v>420</v>
      </c>
      <c r="F46" s="113">
        <v>4.8</v>
      </c>
      <c r="G46" s="26">
        <v>3.7</v>
      </c>
      <c r="H46" s="26">
        <v>4.3</v>
      </c>
      <c r="I46" s="26">
        <v>4.2</v>
      </c>
      <c r="J46" s="26">
        <v>4.5999999999999996</v>
      </c>
      <c r="K46" s="26" t="str">
        <f t="shared" si="3"/>
        <v/>
      </c>
      <c r="L46" s="26" t="str">
        <f t="shared" si="4"/>
        <v/>
      </c>
      <c r="M46" s="25">
        <f t="shared" si="5"/>
        <v>4.8</v>
      </c>
      <c r="N46" s="25">
        <f t="shared" si="6"/>
        <v>3.7</v>
      </c>
      <c r="O46" s="88">
        <f t="shared" si="7"/>
        <v>4.3666666666666671</v>
      </c>
      <c r="P46" s="139">
        <f>IF(COUNT(F46:L46)&gt;0,O46*Opcional1GD,"")</f>
        <v>8.2966666666666669</v>
      </c>
      <c r="Q46" s="145"/>
      <c r="R46" s="142"/>
      <c r="S46" s="107"/>
    </row>
    <row r="47" spans="1:19" hidden="1" x14ac:dyDescent="0.3">
      <c r="A47" s="13" t="str">
        <f>D44</f>
        <v>ESTRELLAS DE ANTIOQUIA</v>
      </c>
      <c r="B47" s="108"/>
      <c r="C47" s="109"/>
      <c r="D47" s="108"/>
      <c r="E47" s="89">
        <f>Opcional2Cod</f>
        <v>327</v>
      </c>
      <c r="F47" s="102">
        <v>4.2</v>
      </c>
      <c r="G47" s="99">
        <v>3.8</v>
      </c>
      <c r="H47" s="99">
        <v>4.8</v>
      </c>
      <c r="I47" s="99">
        <v>5</v>
      </c>
      <c r="J47" s="99">
        <v>4.5999999999999996</v>
      </c>
      <c r="K47" s="99" t="str">
        <f t="shared" si="3"/>
        <v/>
      </c>
      <c r="L47" s="99" t="str">
        <f t="shared" si="4"/>
        <v/>
      </c>
      <c r="M47" s="99">
        <f t="shared" si="5"/>
        <v>5</v>
      </c>
      <c r="N47" s="99">
        <f t="shared" si="6"/>
        <v>3.8</v>
      </c>
      <c r="O47" s="110">
        <f t="shared" si="7"/>
        <v>4.5333333333333323</v>
      </c>
      <c r="P47" s="140">
        <f>IF(COUNT(F47:L47)&gt;0,O47*Opcional2GD,"")</f>
        <v>8.1599999999999984</v>
      </c>
      <c r="Q47" s="146"/>
      <c r="R47" s="143"/>
      <c r="S47" s="111"/>
    </row>
    <row r="48" spans="1:19" hidden="1" x14ac:dyDescent="0.3">
      <c r="A48" s="13" t="str">
        <f>tblPlanilla[[#This Row],[Club]]</f>
        <v>SELECCIÃ“N ANTIOQUIA</v>
      </c>
      <c r="B48" s="96">
        <v>11</v>
      </c>
      <c r="C48" s="104" t="s">
        <v>145</v>
      </c>
      <c r="D48" s="103" t="s">
        <v>123</v>
      </c>
      <c r="E48" s="89">
        <f>Obligatoria1Cod</f>
        <v>106</v>
      </c>
      <c r="F48" s="112">
        <v>4.8</v>
      </c>
      <c r="G48" s="98">
        <v>4.5999999999999996</v>
      </c>
      <c r="H48" s="98">
        <v>4.8</v>
      </c>
      <c r="I48" s="98">
        <v>5.3</v>
      </c>
      <c r="J48" s="98">
        <v>4.3</v>
      </c>
      <c r="K48" s="98" t="str">
        <f t="shared" si="3"/>
        <v/>
      </c>
      <c r="L48" s="98" t="str">
        <f t="shared" si="4"/>
        <v/>
      </c>
      <c r="M48" s="97">
        <f t="shared" si="5"/>
        <v>5.3</v>
      </c>
      <c r="N48" s="97">
        <f t="shared" si="6"/>
        <v>4.3</v>
      </c>
      <c r="O48" s="105">
        <f t="shared" si="7"/>
        <v>4.7333333333333334</v>
      </c>
      <c r="P48" s="138">
        <f>IF(COUNT(F48:L48)&gt;0,O48*Obligatoria1GD,"")</f>
        <v>7.5733333333333341</v>
      </c>
      <c r="Q48" s="144"/>
      <c r="R48" s="141">
        <f>IF(COUNT(F48:L51)&gt;0,SUM(P48:P51),"")</f>
        <v>32.443333333333328</v>
      </c>
      <c r="S48" s="106">
        <f>IF(COUNT(F48:L51)&gt;0,((R48/TotalGD)*10)-SUM(Q48:Q51),0)</f>
        <v>45.060185185185176</v>
      </c>
    </row>
    <row r="49" spans="1:19" hidden="1" x14ac:dyDescent="0.3">
      <c r="A49" s="13" t="str">
        <f>D48</f>
        <v>SELECCIÃ“N ANTIOQUIA</v>
      </c>
      <c r="B49" s="87"/>
      <c r="C49" s="86"/>
      <c r="D49" s="87"/>
      <c r="E49" s="89">
        <f>Obligatoria2Cod</f>
        <v>301</v>
      </c>
      <c r="F49" s="101">
        <v>4.7</v>
      </c>
      <c r="G49" s="25">
        <v>3.7</v>
      </c>
      <c r="H49" s="25">
        <v>4.2</v>
      </c>
      <c r="I49" s="25">
        <v>4.4000000000000004</v>
      </c>
      <c r="J49" s="25">
        <v>4.2</v>
      </c>
      <c r="K49" s="25" t="str">
        <f t="shared" si="3"/>
        <v/>
      </c>
      <c r="L49" s="25" t="str">
        <f t="shared" si="4"/>
        <v/>
      </c>
      <c r="M49" s="25">
        <f t="shared" si="5"/>
        <v>4.7</v>
      </c>
      <c r="N49" s="25">
        <f t="shared" si="6"/>
        <v>3.7</v>
      </c>
      <c r="O49" s="88">
        <f t="shared" si="7"/>
        <v>4.2666666666666666</v>
      </c>
      <c r="P49" s="139">
        <f>IF(COUNT(F49:L49)&gt;0,O49*Obligatoria2GD,"")</f>
        <v>8.1066666666666656</v>
      </c>
      <c r="Q49" s="145"/>
      <c r="R49" s="142"/>
      <c r="S49" s="107"/>
    </row>
    <row r="50" spans="1:19" hidden="1" x14ac:dyDescent="0.3">
      <c r="A50" s="13" t="str">
        <f>D48</f>
        <v>SELECCIÃ“N ANTIOQUIA</v>
      </c>
      <c r="B50" s="87"/>
      <c r="C50" s="86"/>
      <c r="D50" s="87"/>
      <c r="E50" s="89">
        <f>Opcional1Cod</f>
        <v>420</v>
      </c>
      <c r="F50" s="113">
        <v>5</v>
      </c>
      <c r="G50" s="26">
        <v>4.3</v>
      </c>
      <c r="H50" s="26">
        <v>4.4000000000000004</v>
      </c>
      <c r="I50" s="26">
        <v>4.5999999999999996</v>
      </c>
      <c r="J50" s="26">
        <v>4.0999999999999996</v>
      </c>
      <c r="K50" s="26" t="str">
        <f t="shared" si="3"/>
        <v/>
      </c>
      <c r="L50" s="26" t="str">
        <f t="shared" si="4"/>
        <v/>
      </c>
      <c r="M50" s="25">
        <f t="shared" si="5"/>
        <v>5</v>
      </c>
      <c r="N50" s="25">
        <f t="shared" si="6"/>
        <v>4.0999999999999996</v>
      </c>
      <c r="O50" s="88">
        <f t="shared" si="7"/>
        <v>4.4333333333333327</v>
      </c>
      <c r="P50" s="139">
        <f>IF(COUNT(F50:L50)&gt;0,O50*Opcional1GD,"")</f>
        <v>8.423333333333332</v>
      </c>
      <c r="Q50" s="145"/>
      <c r="R50" s="142"/>
      <c r="S50" s="107"/>
    </row>
    <row r="51" spans="1:19" hidden="1" x14ac:dyDescent="0.3">
      <c r="A51" s="13" t="str">
        <f>D48</f>
        <v>SELECCIÃ“N ANTIOQUIA</v>
      </c>
      <c r="B51" s="108"/>
      <c r="C51" s="109"/>
      <c r="D51" s="108"/>
      <c r="E51" s="89">
        <f>Opcional2Cod</f>
        <v>327</v>
      </c>
      <c r="F51" s="102">
        <v>5</v>
      </c>
      <c r="G51" s="99">
        <v>4.2</v>
      </c>
      <c r="H51" s="99">
        <v>4.4000000000000004</v>
      </c>
      <c r="I51" s="99">
        <v>4.8</v>
      </c>
      <c r="J51" s="99">
        <v>4.7</v>
      </c>
      <c r="K51" s="99" t="str">
        <f t="shared" si="3"/>
        <v/>
      </c>
      <c r="L51" s="99" t="str">
        <f t="shared" si="4"/>
        <v/>
      </c>
      <c r="M51" s="99">
        <f t="shared" si="5"/>
        <v>5</v>
      </c>
      <c r="N51" s="99">
        <f t="shared" si="6"/>
        <v>4.2</v>
      </c>
      <c r="O51" s="110">
        <f t="shared" si="7"/>
        <v>4.6333333333333329</v>
      </c>
      <c r="P51" s="140">
        <f>IF(COUNT(F51:L51)&gt;0,O51*Opcional2GD,"")</f>
        <v>8.34</v>
      </c>
      <c r="Q51" s="146"/>
      <c r="R51" s="143"/>
      <c r="S51" s="111"/>
    </row>
    <row r="52" spans="1:19" hidden="1" x14ac:dyDescent="0.3">
      <c r="A52" s="13" t="str">
        <f>tblPlanilla[[#This Row],[Club]]</f>
        <v>SINCROANTIOQUIA NADO</v>
      </c>
      <c r="B52" s="147">
        <v>12</v>
      </c>
      <c r="C52" s="186" t="s">
        <v>146</v>
      </c>
      <c r="D52" s="187" t="s">
        <v>122</v>
      </c>
      <c r="E52" s="148" t="s">
        <v>113</v>
      </c>
      <c r="F52" s="149" t="s">
        <v>113</v>
      </c>
      <c r="G52" s="150" t="s">
        <v>113</v>
      </c>
      <c r="H52" s="150" t="s">
        <v>113</v>
      </c>
      <c r="I52" s="150" t="s">
        <v>113</v>
      </c>
      <c r="J52" s="150" t="s">
        <v>113</v>
      </c>
      <c r="K52" s="150" t="s">
        <v>113</v>
      </c>
      <c r="L52" s="151" t="s">
        <v>113</v>
      </c>
      <c r="M52" s="152" t="str">
        <f t="shared" si="5"/>
        <v/>
      </c>
      <c r="N52" s="153" t="str">
        <f t="shared" si="6"/>
        <v/>
      </c>
      <c r="O52" s="154" t="str">
        <f t="shared" si="7"/>
        <v/>
      </c>
      <c r="P52" s="155" t="str">
        <f>IF(COUNT(F52:L52)&gt;0,O52*Obligatoria1GD,"")</f>
        <v/>
      </c>
      <c r="Q52" s="156"/>
      <c r="R52" s="157" t="str">
        <f>IF(COUNT(F52:L55)&gt;0,SUM(P52:P55),"")</f>
        <v/>
      </c>
      <c r="S52" s="158"/>
    </row>
    <row r="53" spans="1:19" hidden="1" x14ac:dyDescent="0.3">
      <c r="A53" s="13" t="str">
        <f>D52</f>
        <v>SINCROANTIOQUIA NADO</v>
      </c>
      <c r="B53" s="159"/>
      <c r="C53" s="160"/>
      <c r="D53" s="161"/>
      <c r="E53" s="162" t="s">
        <v>113</v>
      </c>
      <c r="F53" s="163" t="s">
        <v>113</v>
      </c>
      <c r="G53" s="164" t="s">
        <v>113</v>
      </c>
      <c r="H53" s="164" t="s">
        <v>113</v>
      </c>
      <c r="I53" s="164" t="s">
        <v>113</v>
      </c>
      <c r="J53" s="164" t="s">
        <v>113</v>
      </c>
      <c r="K53" s="164" t="s">
        <v>113</v>
      </c>
      <c r="L53" s="165" t="s">
        <v>113</v>
      </c>
      <c r="M53" s="166" t="str">
        <f t="shared" si="5"/>
        <v/>
      </c>
      <c r="N53" s="167" t="str">
        <f t="shared" si="6"/>
        <v/>
      </c>
      <c r="O53" s="168" t="str">
        <f t="shared" si="7"/>
        <v/>
      </c>
      <c r="P53" s="169" t="str">
        <f>IF(COUNT(F53:L53)&gt;0,O53*Obligatoria2GD,"")</f>
        <v/>
      </c>
      <c r="Q53" s="170"/>
      <c r="R53" s="171"/>
      <c r="S53" s="172"/>
    </row>
    <row r="54" spans="1:19" hidden="1" x14ac:dyDescent="0.3">
      <c r="A54" s="13" t="str">
        <f>D52</f>
        <v>SINCROANTIOQUIA NADO</v>
      </c>
      <c r="B54" s="159"/>
      <c r="C54" s="160"/>
      <c r="D54" s="161"/>
      <c r="E54" s="162" t="s">
        <v>113</v>
      </c>
      <c r="F54" s="163" t="s">
        <v>113</v>
      </c>
      <c r="G54" s="164" t="s">
        <v>113</v>
      </c>
      <c r="H54" s="164" t="s">
        <v>113</v>
      </c>
      <c r="I54" s="164" t="s">
        <v>113</v>
      </c>
      <c r="J54" s="164" t="s">
        <v>113</v>
      </c>
      <c r="K54" s="164" t="s">
        <v>113</v>
      </c>
      <c r="L54" s="165" t="s">
        <v>113</v>
      </c>
      <c r="M54" s="166" t="str">
        <f t="shared" si="5"/>
        <v/>
      </c>
      <c r="N54" s="167" t="str">
        <f t="shared" si="6"/>
        <v/>
      </c>
      <c r="O54" s="168" t="str">
        <f t="shared" si="7"/>
        <v/>
      </c>
      <c r="P54" s="169" t="str">
        <f>IF(COUNT(F54:L54)&gt;0,O54*Opcional1GD,"")</f>
        <v/>
      </c>
      <c r="Q54" s="170"/>
      <c r="R54" s="171"/>
      <c r="S54" s="172"/>
    </row>
    <row r="55" spans="1:19" hidden="1" x14ac:dyDescent="0.3">
      <c r="A55" s="13" t="str">
        <f>D52</f>
        <v>SINCROANTIOQUIA NADO</v>
      </c>
      <c r="B55" s="173"/>
      <c r="C55" s="174"/>
      <c r="D55" s="175"/>
      <c r="E55" s="162" t="s">
        <v>113</v>
      </c>
      <c r="F55" s="176" t="s">
        <v>113</v>
      </c>
      <c r="G55" s="177" t="s">
        <v>113</v>
      </c>
      <c r="H55" s="177" t="s">
        <v>113</v>
      </c>
      <c r="I55" s="177" t="s">
        <v>113</v>
      </c>
      <c r="J55" s="177" t="s">
        <v>113</v>
      </c>
      <c r="K55" s="177" t="s">
        <v>113</v>
      </c>
      <c r="L55" s="178" t="s">
        <v>113</v>
      </c>
      <c r="M55" s="179" t="str">
        <f t="shared" si="5"/>
        <v/>
      </c>
      <c r="N55" s="180" t="str">
        <f t="shared" si="6"/>
        <v/>
      </c>
      <c r="O55" s="181" t="str">
        <f t="shared" si="7"/>
        <v/>
      </c>
      <c r="P55" s="182" t="str">
        <f>IF(COUNT(F55:L55)&gt;0,O55*Opcional2GD,"")</f>
        <v/>
      </c>
      <c r="Q55" s="183"/>
      <c r="R55" s="184"/>
      <c r="S55" s="185"/>
    </row>
    <row r="56" spans="1:19" x14ac:dyDescent="0.3">
      <c r="A56" s="13" t="str">
        <f>tblPlanilla[[#This Row],[Club]]</f>
        <v>AQUASWIM</v>
      </c>
      <c r="B56" s="96">
        <v>13</v>
      </c>
      <c r="C56" s="104" t="s">
        <v>147</v>
      </c>
      <c r="D56" s="103" t="s">
        <v>114</v>
      </c>
      <c r="E56" s="89">
        <f>Obligatoria1Cod</f>
        <v>106</v>
      </c>
      <c r="F56" s="112">
        <v>4.3</v>
      </c>
      <c r="G56" s="98">
        <v>4.4000000000000004</v>
      </c>
      <c r="H56" s="98">
        <v>4.2</v>
      </c>
      <c r="I56" s="98">
        <v>4.8</v>
      </c>
      <c r="J56" s="98">
        <v>4.4000000000000004</v>
      </c>
      <c r="K56" s="98" t="str">
        <f t="shared" ref="K56:K87" si="8">IF(JuecesPanel&gt;=6,"",IF((JuecesPanel+JuecesCalc)&lt;6,"",IF(COUNT(F56:J56)&gt;0,AVERAGE(F56:J56),"")))</f>
        <v/>
      </c>
      <c r="L56" s="98" t="str">
        <f t="shared" ref="L56:L87" si="9">IF(JuecesPanel&gt;=7,"",IF((JuecesPanel+JuecesCalc)&lt;7,"",IF(COUNT(F56:K56)&gt;0,AVERAGE(F56:K56),"")))</f>
        <v/>
      </c>
      <c r="M56" s="97">
        <f t="shared" si="5"/>
        <v>4.8</v>
      </c>
      <c r="N56" s="97">
        <f t="shared" si="6"/>
        <v>4.2</v>
      </c>
      <c r="O56" s="105">
        <f t="shared" si="7"/>
        <v>4.3666666666666671</v>
      </c>
      <c r="P56" s="138">
        <f>IF(COUNT(F56:L56)&gt;0,O56*Obligatoria1GD,"")</f>
        <v>6.9866666666666681</v>
      </c>
      <c r="Q56" s="144"/>
      <c r="R56" s="141">
        <f>IF(COUNT(F56:L59)&gt;0,SUM(P56:P59),"")</f>
        <v>28.333333333333336</v>
      </c>
      <c r="S56" s="106">
        <f>IF(COUNT(F56:L59)&gt;0,((R56/TotalGD)*10)-SUM(Q56:Q59),0)</f>
        <v>39.351851851851855</v>
      </c>
    </row>
    <row r="57" spans="1:19" x14ac:dyDescent="0.3">
      <c r="A57" s="13" t="str">
        <f>D56</f>
        <v>AQUASWIM</v>
      </c>
      <c r="B57" s="87"/>
      <c r="C57" s="86"/>
      <c r="D57" s="87"/>
      <c r="E57" s="89">
        <f>Obligatoria2Cod</f>
        <v>301</v>
      </c>
      <c r="F57" s="101">
        <v>3.8</v>
      </c>
      <c r="G57" s="25">
        <v>3.3</v>
      </c>
      <c r="H57" s="25">
        <v>3.5</v>
      </c>
      <c r="I57" s="25">
        <v>3.7</v>
      </c>
      <c r="J57" s="25">
        <v>4.3</v>
      </c>
      <c r="K57" s="25" t="str">
        <f t="shared" si="8"/>
        <v/>
      </c>
      <c r="L57" s="25" t="str">
        <f t="shared" si="9"/>
        <v/>
      </c>
      <c r="M57" s="25">
        <f t="shared" si="5"/>
        <v>4.3</v>
      </c>
      <c r="N57" s="25">
        <f t="shared" si="6"/>
        <v>3.3</v>
      </c>
      <c r="O57" s="88">
        <f t="shared" si="7"/>
        <v>3.6666666666666674</v>
      </c>
      <c r="P57" s="139">
        <f>IF(COUNT(F57:L57)&gt;0,O57*Obligatoria2GD,"")</f>
        <v>6.9666666666666677</v>
      </c>
      <c r="Q57" s="145"/>
      <c r="R57" s="142"/>
      <c r="S57" s="107"/>
    </row>
    <row r="58" spans="1:19" x14ac:dyDescent="0.3">
      <c r="A58" s="13" t="str">
        <f>D56</f>
        <v>AQUASWIM</v>
      </c>
      <c r="B58" s="87"/>
      <c r="C58" s="86"/>
      <c r="D58" s="87"/>
      <c r="E58" s="89">
        <f>Opcional1Cod</f>
        <v>420</v>
      </c>
      <c r="F58" s="113">
        <v>4.5999999999999996</v>
      </c>
      <c r="G58" s="26">
        <v>3.4</v>
      </c>
      <c r="H58" s="26">
        <v>3.6</v>
      </c>
      <c r="I58" s="26">
        <v>4.0999999999999996</v>
      </c>
      <c r="J58" s="26">
        <v>4.3</v>
      </c>
      <c r="K58" s="26" t="str">
        <f t="shared" si="8"/>
        <v/>
      </c>
      <c r="L58" s="26" t="str">
        <f t="shared" si="9"/>
        <v/>
      </c>
      <c r="M58" s="25">
        <f t="shared" si="5"/>
        <v>4.5999999999999996</v>
      </c>
      <c r="N58" s="25">
        <f t="shared" si="6"/>
        <v>3.4</v>
      </c>
      <c r="O58" s="88">
        <f t="shared" si="7"/>
        <v>4</v>
      </c>
      <c r="P58" s="139">
        <f>IF(COUNT(F58:L58)&gt;0,O58*Opcional1GD,"")</f>
        <v>7.6</v>
      </c>
      <c r="Q58" s="145"/>
      <c r="R58" s="142"/>
      <c r="S58" s="107"/>
    </row>
    <row r="59" spans="1:19" x14ac:dyDescent="0.3">
      <c r="A59" s="13" t="str">
        <f>D56</f>
        <v>AQUASWIM</v>
      </c>
      <c r="B59" s="108"/>
      <c r="C59" s="109"/>
      <c r="D59" s="108"/>
      <c r="E59" s="89">
        <f>Opcional2Cod</f>
        <v>327</v>
      </c>
      <c r="F59" s="102">
        <v>3.8</v>
      </c>
      <c r="G59" s="99">
        <v>3.6</v>
      </c>
      <c r="H59" s="99">
        <v>3.2</v>
      </c>
      <c r="I59" s="99">
        <v>4.5</v>
      </c>
      <c r="J59" s="99">
        <v>3.9</v>
      </c>
      <c r="K59" s="99" t="str">
        <f t="shared" si="8"/>
        <v/>
      </c>
      <c r="L59" s="99" t="str">
        <f t="shared" si="9"/>
        <v/>
      </c>
      <c r="M59" s="99">
        <f t="shared" si="5"/>
        <v>4.5</v>
      </c>
      <c r="N59" s="99">
        <f t="shared" si="6"/>
        <v>3.2</v>
      </c>
      <c r="O59" s="110">
        <f t="shared" si="7"/>
        <v>3.7666666666666671</v>
      </c>
      <c r="P59" s="140">
        <f>IF(COUNT(F59:L59)&gt;0,O59*Opcional2GD,"")</f>
        <v>6.7800000000000011</v>
      </c>
      <c r="Q59" s="146"/>
      <c r="R59" s="143"/>
      <c r="S59" s="111"/>
    </row>
    <row r="60" spans="1:19" hidden="1" x14ac:dyDescent="0.3">
      <c r="A60" s="13" t="str">
        <f>tblPlanilla[[#This Row],[Club]]</f>
        <v>SINCROANTIOQUIA NADO</v>
      </c>
      <c r="B60" s="96">
        <v>14</v>
      </c>
      <c r="C60" s="104" t="s">
        <v>148</v>
      </c>
      <c r="D60" s="103" t="s">
        <v>122</v>
      </c>
      <c r="E60" s="89">
        <f>Obligatoria1Cod</f>
        <v>106</v>
      </c>
      <c r="F60" s="112">
        <v>5.0999999999999996</v>
      </c>
      <c r="G60" s="98">
        <v>4.5999999999999996</v>
      </c>
      <c r="H60" s="98">
        <v>5.5</v>
      </c>
      <c r="I60" s="98">
        <v>6</v>
      </c>
      <c r="J60" s="98">
        <v>5.4</v>
      </c>
      <c r="K60" s="98" t="str">
        <f t="shared" si="8"/>
        <v/>
      </c>
      <c r="L60" s="98" t="str">
        <f t="shared" si="9"/>
        <v/>
      </c>
      <c r="M60" s="97">
        <f t="shared" si="5"/>
        <v>6</v>
      </c>
      <c r="N60" s="97">
        <f t="shared" si="6"/>
        <v>4.5999999999999996</v>
      </c>
      <c r="O60" s="105">
        <f t="shared" si="7"/>
        <v>5.333333333333333</v>
      </c>
      <c r="P60" s="138">
        <f>IF(COUNT(F60:L60)&gt;0,O60*Obligatoria1GD,"")</f>
        <v>8.5333333333333332</v>
      </c>
      <c r="Q60" s="144"/>
      <c r="R60" s="141">
        <f>IF(COUNT(F60:L63)&gt;0,SUM(P60:P63),"")</f>
        <v>35.979999999999997</v>
      </c>
      <c r="S60" s="106">
        <f>IF(COUNT(F60:L63)&gt;0,((R60/TotalGD)*10)-SUM(Q60:Q63),0)</f>
        <v>49.972222222222214</v>
      </c>
    </row>
    <row r="61" spans="1:19" hidden="1" x14ac:dyDescent="0.3">
      <c r="A61" s="13" t="str">
        <f>D60</f>
        <v>SINCROANTIOQUIA NADO</v>
      </c>
      <c r="B61" s="87"/>
      <c r="C61" s="86"/>
      <c r="D61" s="87"/>
      <c r="E61" s="89">
        <f>Obligatoria2Cod</f>
        <v>301</v>
      </c>
      <c r="F61" s="101">
        <v>4.5999999999999996</v>
      </c>
      <c r="G61" s="25">
        <v>4.3</v>
      </c>
      <c r="H61" s="25">
        <v>5.5</v>
      </c>
      <c r="I61" s="25">
        <v>4.9000000000000004</v>
      </c>
      <c r="J61" s="25">
        <v>4.5</v>
      </c>
      <c r="K61" s="25" t="str">
        <f t="shared" si="8"/>
        <v/>
      </c>
      <c r="L61" s="25" t="str">
        <f t="shared" si="9"/>
        <v/>
      </c>
      <c r="M61" s="25">
        <f t="shared" si="5"/>
        <v>5.5</v>
      </c>
      <c r="N61" s="25">
        <f t="shared" si="6"/>
        <v>4.3</v>
      </c>
      <c r="O61" s="88">
        <f t="shared" si="7"/>
        <v>4.6666666666666652</v>
      </c>
      <c r="P61" s="139">
        <f>IF(COUNT(F61:L61)&gt;0,O61*Obligatoria2GD,"")</f>
        <v>8.8666666666666636</v>
      </c>
      <c r="Q61" s="145"/>
      <c r="R61" s="142"/>
      <c r="S61" s="107"/>
    </row>
    <row r="62" spans="1:19" hidden="1" x14ac:dyDescent="0.3">
      <c r="A62" s="13" t="str">
        <f>D60</f>
        <v>SINCROANTIOQUIA NADO</v>
      </c>
      <c r="B62" s="87"/>
      <c r="C62" s="86"/>
      <c r="D62" s="87"/>
      <c r="E62" s="89">
        <f>Opcional1Cod</f>
        <v>420</v>
      </c>
      <c r="F62" s="113">
        <v>5.7</v>
      </c>
      <c r="G62" s="26">
        <v>4.5</v>
      </c>
      <c r="H62" s="26">
        <v>4.7</v>
      </c>
      <c r="I62" s="26">
        <v>5.2</v>
      </c>
      <c r="J62" s="26">
        <v>5.8</v>
      </c>
      <c r="K62" s="26" t="str">
        <f t="shared" si="8"/>
        <v/>
      </c>
      <c r="L62" s="26" t="str">
        <f t="shared" si="9"/>
        <v/>
      </c>
      <c r="M62" s="25">
        <f t="shared" si="5"/>
        <v>5.8</v>
      </c>
      <c r="N62" s="25">
        <f t="shared" si="6"/>
        <v>4.5</v>
      </c>
      <c r="O62" s="88">
        <f t="shared" si="7"/>
        <v>5.1999999999999993</v>
      </c>
      <c r="P62" s="139">
        <f>IF(COUNT(F62:L62)&gt;0,O62*Opcional1GD,"")</f>
        <v>9.879999999999999</v>
      </c>
      <c r="Q62" s="145"/>
      <c r="R62" s="142"/>
      <c r="S62" s="107"/>
    </row>
    <row r="63" spans="1:19" hidden="1" x14ac:dyDescent="0.3">
      <c r="A63" s="13" t="str">
        <f>D60</f>
        <v>SINCROANTIOQUIA NADO</v>
      </c>
      <c r="B63" s="108"/>
      <c r="C63" s="109"/>
      <c r="D63" s="108"/>
      <c r="E63" s="89">
        <f>Opcional2Cod</f>
        <v>327</v>
      </c>
      <c r="F63" s="102">
        <v>4.5</v>
      </c>
      <c r="G63" s="99">
        <v>4.5999999999999996</v>
      </c>
      <c r="H63" s="99">
        <v>4.9000000000000004</v>
      </c>
      <c r="I63" s="99">
        <v>5.3</v>
      </c>
      <c r="J63" s="99">
        <v>5</v>
      </c>
      <c r="K63" s="99" t="str">
        <f t="shared" si="8"/>
        <v/>
      </c>
      <c r="L63" s="99" t="str">
        <f t="shared" si="9"/>
        <v/>
      </c>
      <c r="M63" s="99">
        <f t="shared" si="5"/>
        <v>5.3</v>
      </c>
      <c r="N63" s="99">
        <f t="shared" si="6"/>
        <v>4.5</v>
      </c>
      <c r="O63" s="110">
        <f t="shared" si="7"/>
        <v>4.833333333333333</v>
      </c>
      <c r="P63" s="140">
        <f>IF(COUNT(F63:L63)&gt;0,O63*Opcional2GD,"")</f>
        <v>8.6999999999999993</v>
      </c>
      <c r="Q63" s="146"/>
      <c r="R63" s="143"/>
      <c r="S63" s="111"/>
    </row>
    <row r="64" spans="1:19" hidden="1" x14ac:dyDescent="0.3">
      <c r="A64" s="13" t="str">
        <f>tblPlanilla[[#This Row],[Club]]</f>
        <v>TRANSFERENCIA</v>
      </c>
      <c r="B64" s="96">
        <v>15</v>
      </c>
      <c r="C64" s="104" t="s">
        <v>149</v>
      </c>
      <c r="D64" s="103" t="s">
        <v>124</v>
      </c>
      <c r="E64" s="89">
        <f>Obligatoria1Cod</f>
        <v>106</v>
      </c>
      <c r="F64" s="112">
        <v>4.9000000000000004</v>
      </c>
      <c r="G64" s="98">
        <v>4.4000000000000004</v>
      </c>
      <c r="H64" s="98">
        <v>5.2</v>
      </c>
      <c r="I64" s="98">
        <v>5.4</v>
      </c>
      <c r="J64" s="98">
        <v>4.9000000000000004</v>
      </c>
      <c r="K64" s="98" t="str">
        <f t="shared" si="8"/>
        <v/>
      </c>
      <c r="L64" s="98" t="str">
        <f t="shared" si="9"/>
        <v/>
      </c>
      <c r="M64" s="97">
        <f t="shared" si="5"/>
        <v>5.4</v>
      </c>
      <c r="N64" s="97">
        <f t="shared" si="6"/>
        <v>4.4000000000000004</v>
      </c>
      <c r="O64" s="105">
        <f t="shared" si="7"/>
        <v>4.9999999999999991</v>
      </c>
      <c r="P64" s="138">
        <f>IF(COUNT(F64:L64)&gt;0,O64*Obligatoria1GD,"")</f>
        <v>7.9999999999999991</v>
      </c>
      <c r="Q64" s="144"/>
      <c r="R64" s="141">
        <f>IF(COUNT(F64:L67)&gt;0,SUM(P64:P67),"")</f>
        <v>34.986666666666665</v>
      </c>
      <c r="S64" s="106">
        <f>IF(COUNT(F64:L67)&gt;0,((R64/TotalGD)*10)-SUM(Q64:Q67),0)</f>
        <v>48.592592592592595</v>
      </c>
    </row>
    <row r="65" spans="1:19" hidden="1" x14ac:dyDescent="0.3">
      <c r="A65" s="13" t="str">
        <f>D64</f>
        <v>TRANSFERENCIA</v>
      </c>
      <c r="B65" s="87"/>
      <c r="C65" s="86"/>
      <c r="D65" s="87"/>
      <c r="E65" s="89">
        <f>Obligatoria2Cod</f>
        <v>301</v>
      </c>
      <c r="F65" s="101">
        <v>4.9000000000000004</v>
      </c>
      <c r="G65" s="25">
        <v>4.0999999999999996</v>
      </c>
      <c r="H65" s="25">
        <v>4.5999999999999996</v>
      </c>
      <c r="I65" s="25">
        <v>5</v>
      </c>
      <c r="J65" s="25">
        <v>4.5999999999999996</v>
      </c>
      <c r="K65" s="25" t="str">
        <f t="shared" si="8"/>
        <v/>
      </c>
      <c r="L65" s="25" t="str">
        <f t="shared" si="9"/>
        <v/>
      </c>
      <c r="M65" s="25">
        <f t="shared" si="5"/>
        <v>5</v>
      </c>
      <c r="N65" s="25">
        <f t="shared" si="6"/>
        <v>4.0999999999999996</v>
      </c>
      <c r="O65" s="88">
        <f t="shared" si="7"/>
        <v>4.7000000000000011</v>
      </c>
      <c r="P65" s="139">
        <f>IF(COUNT(F65:L65)&gt;0,O65*Obligatoria2GD,"")</f>
        <v>8.9300000000000015</v>
      </c>
      <c r="Q65" s="145"/>
      <c r="R65" s="142"/>
      <c r="S65" s="107"/>
    </row>
    <row r="66" spans="1:19" hidden="1" x14ac:dyDescent="0.3">
      <c r="A66" s="13" t="str">
        <f>D64</f>
        <v>TRANSFERENCIA</v>
      </c>
      <c r="B66" s="87"/>
      <c r="C66" s="86"/>
      <c r="D66" s="87"/>
      <c r="E66" s="89">
        <f>Opcional1Cod</f>
        <v>420</v>
      </c>
      <c r="F66" s="113">
        <v>5</v>
      </c>
      <c r="G66" s="26">
        <v>4.7</v>
      </c>
      <c r="H66" s="26">
        <v>4.8</v>
      </c>
      <c r="I66" s="26">
        <v>4.7</v>
      </c>
      <c r="J66" s="26">
        <v>4.8</v>
      </c>
      <c r="K66" s="26" t="str">
        <f t="shared" si="8"/>
        <v/>
      </c>
      <c r="L66" s="26" t="str">
        <f t="shared" si="9"/>
        <v/>
      </c>
      <c r="M66" s="25">
        <f t="shared" si="5"/>
        <v>5</v>
      </c>
      <c r="N66" s="25">
        <f t="shared" si="6"/>
        <v>4.7</v>
      </c>
      <c r="O66" s="88">
        <f t="shared" si="7"/>
        <v>4.7666666666666666</v>
      </c>
      <c r="P66" s="139">
        <f>IF(COUNT(F66:L66)&gt;0,O66*Opcional1GD,"")</f>
        <v>9.0566666666666666</v>
      </c>
      <c r="Q66" s="145"/>
      <c r="R66" s="142"/>
      <c r="S66" s="107"/>
    </row>
    <row r="67" spans="1:19" hidden="1" x14ac:dyDescent="0.3">
      <c r="A67" s="13" t="str">
        <f>D64</f>
        <v>TRANSFERENCIA</v>
      </c>
      <c r="B67" s="108"/>
      <c r="C67" s="109"/>
      <c r="D67" s="108"/>
      <c r="E67" s="89">
        <f>Opcional2Cod</f>
        <v>327</v>
      </c>
      <c r="F67" s="102">
        <v>5.2</v>
      </c>
      <c r="G67" s="99">
        <v>5</v>
      </c>
      <c r="H67" s="99">
        <v>4.7</v>
      </c>
      <c r="I67" s="99">
        <v>5.0999999999999996</v>
      </c>
      <c r="J67" s="99">
        <v>4.9000000000000004</v>
      </c>
      <c r="K67" s="99" t="str">
        <f t="shared" si="8"/>
        <v/>
      </c>
      <c r="L67" s="99" t="str">
        <f t="shared" si="9"/>
        <v/>
      </c>
      <c r="M67" s="99">
        <f t="shared" si="5"/>
        <v>5.2</v>
      </c>
      <c r="N67" s="99">
        <f t="shared" si="6"/>
        <v>4.7</v>
      </c>
      <c r="O67" s="110">
        <f t="shared" si="7"/>
        <v>4.9999999999999991</v>
      </c>
      <c r="P67" s="140">
        <f>IF(COUNT(F67:L67)&gt;0,O67*Opcional2GD,"")</f>
        <v>8.9999999999999982</v>
      </c>
      <c r="Q67" s="146"/>
      <c r="R67" s="143"/>
      <c r="S67" s="111"/>
    </row>
    <row r="68" spans="1:19" hidden="1" x14ac:dyDescent="0.3">
      <c r="A68" s="13" t="str">
        <f>tblPlanilla[[#This Row],[Club]]</f>
        <v>ESTRELLAS DE ANTIOQUIA</v>
      </c>
      <c r="B68" s="96">
        <v>16</v>
      </c>
      <c r="C68" s="104" t="s">
        <v>150</v>
      </c>
      <c r="D68" s="103" t="s">
        <v>121</v>
      </c>
      <c r="E68" s="89">
        <f>Obligatoria1Cod</f>
        <v>106</v>
      </c>
      <c r="F68" s="112">
        <v>4.5999999999999996</v>
      </c>
      <c r="G68" s="98">
        <v>4.5</v>
      </c>
      <c r="H68" s="98">
        <v>5</v>
      </c>
      <c r="I68" s="98">
        <v>5.6</v>
      </c>
      <c r="J68" s="98">
        <v>4.8</v>
      </c>
      <c r="K68" s="98" t="str">
        <f t="shared" si="8"/>
        <v/>
      </c>
      <c r="L68" s="98" t="str">
        <f t="shared" si="9"/>
        <v/>
      </c>
      <c r="M68" s="97">
        <f t="shared" si="5"/>
        <v>5.6</v>
      </c>
      <c r="N68" s="97">
        <f t="shared" si="6"/>
        <v>4.5</v>
      </c>
      <c r="O68" s="105">
        <f t="shared" si="7"/>
        <v>4.8</v>
      </c>
      <c r="P68" s="138">
        <f>IF(COUNT(F68:L68)&gt;0,O68*Obligatoria1GD,"")</f>
        <v>7.68</v>
      </c>
      <c r="Q68" s="144"/>
      <c r="R68" s="141">
        <f>IF(COUNT(F68:L71)&gt;0,SUM(P68:P71),"")</f>
        <v>34.299999999999997</v>
      </c>
      <c r="S68" s="106">
        <f>IF(COUNT(F68:L71)&gt;0,((R68/TotalGD)*10)-SUM(Q68:Q71),0)</f>
        <v>47.638888888888886</v>
      </c>
    </row>
    <row r="69" spans="1:19" hidden="1" x14ac:dyDescent="0.3">
      <c r="A69" s="13" t="str">
        <f>D68</f>
        <v>ESTRELLAS DE ANTIOQUIA</v>
      </c>
      <c r="B69" s="87"/>
      <c r="C69" s="86"/>
      <c r="D69" s="87"/>
      <c r="E69" s="89">
        <f>Obligatoria2Cod</f>
        <v>301</v>
      </c>
      <c r="F69" s="101">
        <v>4.5</v>
      </c>
      <c r="G69" s="25">
        <v>4.4000000000000004</v>
      </c>
      <c r="H69" s="25">
        <v>3.9</v>
      </c>
      <c r="I69" s="25">
        <v>4.7</v>
      </c>
      <c r="J69" s="25">
        <v>4.9000000000000004</v>
      </c>
      <c r="K69" s="25" t="str">
        <f t="shared" si="8"/>
        <v/>
      </c>
      <c r="L69" s="25" t="str">
        <f t="shared" si="9"/>
        <v/>
      </c>
      <c r="M69" s="25">
        <f t="shared" si="5"/>
        <v>4.9000000000000004</v>
      </c>
      <c r="N69" s="25">
        <f t="shared" si="6"/>
        <v>3.9</v>
      </c>
      <c r="O69" s="88">
        <f t="shared" si="7"/>
        <v>4.5333333333333323</v>
      </c>
      <c r="P69" s="139">
        <f>IF(COUNT(F69:L69)&gt;0,O69*Obligatoria2GD,"")</f>
        <v>8.6133333333333315</v>
      </c>
      <c r="Q69" s="145"/>
      <c r="R69" s="142"/>
      <c r="S69" s="107"/>
    </row>
    <row r="70" spans="1:19" hidden="1" x14ac:dyDescent="0.3">
      <c r="A70" s="13" t="str">
        <f>D68</f>
        <v>ESTRELLAS DE ANTIOQUIA</v>
      </c>
      <c r="B70" s="87"/>
      <c r="C70" s="86"/>
      <c r="D70" s="87"/>
      <c r="E70" s="89">
        <f>Opcional1Cod</f>
        <v>420</v>
      </c>
      <c r="F70" s="113">
        <v>5.0999999999999996</v>
      </c>
      <c r="G70" s="26">
        <v>4.4000000000000004</v>
      </c>
      <c r="H70" s="26">
        <v>4.5</v>
      </c>
      <c r="I70" s="26">
        <v>5.0999999999999996</v>
      </c>
      <c r="J70" s="26">
        <v>5</v>
      </c>
      <c r="K70" s="26" t="str">
        <f t="shared" si="8"/>
        <v/>
      </c>
      <c r="L70" s="26" t="str">
        <f t="shared" si="9"/>
        <v/>
      </c>
      <c r="M70" s="25">
        <f t="shared" si="5"/>
        <v>5.0999999999999996</v>
      </c>
      <c r="N70" s="25">
        <f t="shared" si="6"/>
        <v>4.4000000000000004</v>
      </c>
      <c r="O70" s="88">
        <f t="shared" si="7"/>
        <v>4.8666666666666671</v>
      </c>
      <c r="P70" s="139">
        <f>IF(COUNT(F70:L70)&gt;0,O70*Opcional1GD,"")</f>
        <v>9.2466666666666679</v>
      </c>
      <c r="Q70" s="145"/>
      <c r="R70" s="142"/>
      <c r="S70" s="107"/>
    </row>
    <row r="71" spans="1:19" hidden="1" x14ac:dyDescent="0.3">
      <c r="A71" s="13" t="str">
        <f>D68</f>
        <v>ESTRELLAS DE ANTIOQUIA</v>
      </c>
      <c r="B71" s="108"/>
      <c r="C71" s="109"/>
      <c r="D71" s="108"/>
      <c r="E71" s="89">
        <f>Opcional2Cod</f>
        <v>327</v>
      </c>
      <c r="F71" s="102">
        <v>4.3</v>
      </c>
      <c r="G71" s="99">
        <v>4.8</v>
      </c>
      <c r="H71" s="99">
        <v>5</v>
      </c>
      <c r="I71" s="99">
        <v>4.8</v>
      </c>
      <c r="J71" s="99">
        <v>5.0999999999999996</v>
      </c>
      <c r="K71" s="99" t="str">
        <f t="shared" si="8"/>
        <v/>
      </c>
      <c r="L71" s="99" t="str">
        <f t="shared" si="9"/>
        <v/>
      </c>
      <c r="M71" s="99">
        <f t="shared" si="5"/>
        <v>5.0999999999999996</v>
      </c>
      <c r="N71" s="99">
        <f t="shared" si="6"/>
        <v>4.3</v>
      </c>
      <c r="O71" s="110">
        <f t="shared" si="7"/>
        <v>4.8666666666666671</v>
      </c>
      <c r="P71" s="140">
        <f>IF(COUNT(F71:L71)&gt;0,O71*Opcional2GD,"")</f>
        <v>8.7600000000000016</v>
      </c>
      <c r="Q71" s="146"/>
      <c r="R71" s="143"/>
      <c r="S71" s="111"/>
    </row>
    <row r="72" spans="1:19" hidden="1" x14ac:dyDescent="0.3">
      <c r="A72" s="13" t="str">
        <f>tblPlanilla[[#This Row],[Club]]</f>
        <v>SELECCIÃ“N ANTIOQUIA</v>
      </c>
      <c r="B72" s="96">
        <v>17</v>
      </c>
      <c r="C72" s="104" t="s">
        <v>151</v>
      </c>
      <c r="D72" s="103" t="s">
        <v>123</v>
      </c>
      <c r="E72" s="89">
        <f>Obligatoria1Cod</f>
        <v>106</v>
      </c>
      <c r="F72" s="112">
        <v>5</v>
      </c>
      <c r="G72" s="98">
        <v>4.2</v>
      </c>
      <c r="H72" s="98">
        <v>5.3</v>
      </c>
      <c r="I72" s="98">
        <v>5.9</v>
      </c>
      <c r="J72" s="98">
        <v>4.8</v>
      </c>
      <c r="K72" s="98" t="str">
        <f t="shared" si="8"/>
        <v/>
      </c>
      <c r="L72" s="98" t="str">
        <f t="shared" si="9"/>
        <v/>
      </c>
      <c r="M72" s="97">
        <f t="shared" ref="M72:M103" si="10">IF(COUNT(F72:L72)&gt;4,MAX(F72:L72),"")</f>
        <v>5.9</v>
      </c>
      <c r="N72" s="97">
        <f t="shared" ref="N72:N103" si="11">IF(COUNT(F72:L72)&gt;4,MIN(F72:L72),"")</f>
        <v>4.2</v>
      </c>
      <c r="O72" s="105">
        <f t="shared" ref="O72:O103" si="12">IF(COUNT(F72:L72)&gt;0,(SUM(F72:L72)-( SUM(M72:N72)  ))/(IF(COUNT(F72:L72)&gt;4,COUNT(F72:L72)-2,COUNT(F72:L72))),"")</f>
        <v>5.0333333333333323</v>
      </c>
      <c r="P72" s="138">
        <f>IF(COUNT(F72:L72)&gt;0,O72*Obligatoria1GD,"")</f>
        <v>8.0533333333333328</v>
      </c>
      <c r="Q72" s="144"/>
      <c r="R72" s="141">
        <f>IF(COUNT(F72:L75)&gt;0,SUM(P72:P75),"")</f>
        <v>36.243333333333332</v>
      </c>
      <c r="S72" s="106">
        <f>IF(COUNT(F72:L75)&gt;0,((R72/TotalGD)*10)-SUM(Q72:Q75),0)</f>
        <v>50.337962962962955</v>
      </c>
    </row>
    <row r="73" spans="1:19" hidden="1" x14ac:dyDescent="0.3">
      <c r="A73" s="13" t="str">
        <f>D72</f>
        <v>SELECCIÃ“N ANTIOQUIA</v>
      </c>
      <c r="B73" s="87"/>
      <c r="C73" s="86"/>
      <c r="D73" s="87"/>
      <c r="E73" s="89">
        <f>Obligatoria2Cod</f>
        <v>301</v>
      </c>
      <c r="F73" s="101">
        <v>4.4000000000000004</v>
      </c>
      <c r="G73" s="25">
        <v>4.5999999999999996</v>
      </c>
      <c r="H73" s="25">
        <v>5.2</v>
      </c>
      <c r="I73" s="25">
        <v>5.3</v>
      </c>
      <c r="J73" s="25">
        <v>5</v>
      </c>
      <c r="K73" s="25" t="str">
        <f t="shared" si="8"/>
        <v/>
      </c>
      <c r="L73" s="25" t="str">
        <f t="shared" si="9"/>
        <v/>
      </c>
      <c r="M73" s="25">
        <f t="shared" si="10"/>
        <v>5.3</v>
      </c>
      <c r="N73" s="25">
        <f t="shared" si="11"/>
        <v>4.4000000000000004</v>
      </c>
      <c r="O73" s="88">
        <f t="shared" si="12"/>
        <v>4.9333333333333336</v>
      </c>
      <c r="P73" s="139">
        <f>IF(COUNT(F73:L73)&gt;0,O73*Obligatoria2GD,"")</f>
        <v>9.3733333333333331</v>
      </c>
      <c r="Q73" s="145"/>
      <c r="R73" s="142"/>
      <c r="S73" s="107"/>
    </row>
    <row r="74" spans="1:19" hidden="1" x14ac:dyDescent="0.3">
      <c r="A74" s="13" t="str">
        <f>D72</f>
        <v>SELECCIÃ“N ANTIOQUIA</v>
      </c>
      <c r="B74" s="87"/>
      <c r="C74" s="86"/>
      <c r="D74" s="87"/>
      <c r="E74" s="89">
        <f>Opcional1Cod</f>
        <v>420</v>
      </c>
      <c r="F74" s="113">
        <v>5.2</v>
      </c>
      <c r="G74" s="26">
        <v>3.8</v>
      </c>
      <c r="H74" s="26">
        <v>5.0999999999999996</v>
      </c>
      <c r="I74" s="26">
        <v>5.3</v>
      </c>
      <c r="J74" s="26">
        <v>5.2</v>
      </c>
      <c r="K74" s="26" t="str">
        <f t="shared" si="8"/>
        <v/>
      </c>
      <c r="L74" s="26" t="str">
        <f t="shared" si="9"/>
        <v/>
      </c>
      <c r="M74" s="25">
        <f t="shared" si="10"/>
        <v>5.3</v>
      </c>
      <c r="N74" s="25">
        <f t="shared" si="11"/>
        <v>3.8</v>
      </c>
      <c r="O74" s="88">
        <f t="shared" si="12"/>
        <v>5.1666666666666661</v>
      </c>
      <c r="P74" s="139">
        <f>IF(COUNT(F74:L74)&gt;0,O74*Opcional1GD,"")</f>
        <v>9.8166666666666647</v>
      </c>
      <c r="Q74" s="145"/>
      <c r="R74" s="142"/>
      <c r="S74" s="107"/>
    </row>
    <row r="75" spans="1:19" hidden="1" x14ac:dyDescent="0.3">
      <c r="A75" s="13" t="str">
        <f>D72</f>
        <v>SELECCIÃ“N ANTIOQUIA</v>
      </c>
      <c r="B75" s="108"/>
      <c r="C75" s="109"/>
      <c r="D75" s="108"/>
      <c r="E75" s="89">
        <f>Opcional2Cod</f>
        <v>327</v>
      </c>
      <c r="F75" s="102">
        <v>4.8</v>
      </c>
      <c r="G75" s="99">
        <v>5</v>
      </c>
      <c r="H75" s="99">
        <v>5.3</v>
      </c>
      <c r="I75" s="99">
        <v>5.0999999999999996</v>
      </c>
      <c r="J75" s="99">
        <v>4.9000000000000004</v>
      </c>
      <c r="K75" s="99" t="str">
        <f t="shared" si="8"/>
        <v/>
      </c>
      <c r="L75" s="99" t="str">
        <f t="shared" si="9"/>
        <v/>
      </c>
      <c r="M75" s="99">
        <f t="shared" si="10"/>
        <v>5.3</v>
      </c>
      <c r="N75" s="99">
        <f t="shared" si="11"/>
        <v>4.8</v>
      </c>
      <c r="O75" s="110">
        <f t="shared" si="12"/>
        <v>5.0000000000000009</v>
      </c>
      <c r="P75" s="140">
        <f>IF(COUNT(F75:L75)&gt;0,O75*Opcional2GD,"")</f>
        <v>9.0000000000000018</v>
      </c>
      <c r="Q75" s="146"/>
      <c r="R75" s="143"/>
      <c r="S75" s="111"/>
    </row>
    <row r="76" spans="1:19" hidden="1" x14ac:dyDescent="0.3">
      <c r="A76" s="13" t="str">
        <f>tblPlanilla[[#This Row],[Club]]</f>
        <v>ESTRELLAS DE ANTIOQUIA</v>
      </c>
      <c r="B76" s="96">
        <v>18</v>
      </c>
      <c r="C76" s="104" t="s">
        <v>152</v>
      </c>
      <c r="D76" s="103" t="s">
        <v>121</v>
      </c>
      <c r="E76" s="89">
        <f>Obligatoria1Cod</f>
        <v>106</v>
      </c>
      <c r="F76" s="112">
        <v>5.2</v>
      </c>
      <c r="G76" s="98">
        <v>5.4</v>
      </c>
      <c r="H76" s="98">
        <v>5.6</v>
      </c>
      <c r="I76" s="98">
        <v>6.2</v>
      </c>
      <c r="J76" s="98">
        <v>5.0999999999999996</v>
      </c>
      <c r="K76" s="98" t="str">
        <f t="shared" si="8"/>
        <v/>
      </c>
      <c r="L76" s="98" t="str">
        <f t="shared" si="9"/>
        <v/>
      </c>
      <c r="M76" s="97">
        <f t="shared" si="10"/>
        <v>6.2</v>
      </c>
      <c r="N76" s="97">
        <f t="shared" si="11"/>
        <v>5.0999999999999996</v>
      </c>
      <c r="O76" s="105">
        <f t="shared" si="12"/>
        <v>5.3999999999999995</v>
      </c>
      <c r="P76" s="138">
        <f>IF(COUNT(F76:L76)&gt;0,O76*Obligatoria1GD,"")</f>
        <v>8.6399999999999988</v>
      </c>
      <c r="Q76" s="144"/>
      <c r="R76" s="141">
        <f>IF(COUNT(F76:L79)&gt;0,SUM(P76:P79),"")</f>
        <v>38.876666666666665</v>
      </c>
      <c r="S76" s="106">
        <f>IF(COUNT(F76:L79)&gt;0,((R76/TotalGD)*10)-SUM(Q76:Q79),0)</f>
        <v>53.995370370370367</v>
      </c>
    </row>
    <row r="77" spans="1:19" hidden="1" x14ac:dyDescent="0.3">
      <c r="A77" s="13" t="str">
        <f>D76</f>
        <v>ESTRELLAS DE ANTIOQUIA</v>
      </c>
      <c r="B77" s="87"/>
      <c r="C77" s="86"/>
      <c r="D77" s="87"/>
      <c r="E77" s="89">
        <f>Obligatoria2Cod</f>
        <v>301</v>
      </c>
      <c r="F77" s="101">
        <v>5.7</v>
      </c>
      <c r="G77" s="25">
        <v>5.4</v>
      </c>
      <c r="H77" s="25">
        <v>5.9</v>
      </c>
      <c r="I77" s="25">
        <v>5.6</v>
      </c>
      <c r="J77" s="25">
        <v>5.3</v>
      </c>
      <c r="K77" s="25" t="str">
        <f t="shared" si="8"/>
        <v/>
      </c>
      <c r="L77" s="25" t="str">
        <f t="shared" si="9"/>
        <v/>
      </c>
      <c r="M77" s="25">
        <f t="shared" si="10"/>
        <v>5.9</v>
      </c>
      <c r="N77" s="25">
        <f t="shared" si="11"/>
        <v>5.3</v>
      </c>
      <c r="O77" s="88">
        <f t="shared" si="12"/>
        <v>5.5666666666666673</v>
      </c>
      <c r="P77" s="139">
        <f>IF(COUNT(F77:L77)&gt;0,O77*Obligatoria2GD,"")</f>
        <v>10.576666666666668</v>
      </c>
      <c r="Q77" s="145"/>
      <c r="R77" s="142"/>
      <c r="S77" s="107"/>
    </row>
    <row r="78" spans="1:19" hidden="1" x14ac:dyDescent="0.3">
      <c r="A78" s="13" t="str">
        <f>D76</f>
        <v>ESTRELLAS DE ANTIOQUIA</v>
      </c>
      <c r="B78" s="87"/>
      <c r="C78" s="86"/>
      <c r="D78" s="87"/>
      <c r="E78" s="89">
        <f>Opcional1Cod</f>
        <v>420</v>
      </c>
      <c r="F78" s="113">
        <v>5.3</v>
      </c>
      <c r="G78" s="26">
        <v>4.8</v>
      </c>
      <c r="H78" s="26">
        <v>5.3</v>
      </c>
      <c r="I78" s="26">
        <v>5.2</v>
      </c>
      <c r="J78" s="26">
        <v>5.0999999999999996</v>
      </c>
      <c r="K78" s="26" t="str">
        <f t="shared" si="8"/>
        <v/>
      </c>
      <c r="L78" s="26" t="str">
        <f t="shared" si="9"/>
        <v/>
      </c>
      <c r="M78" s="25">
        <f t="shared" si="10"/>
        <v>5.3</v>
      </c>
      <c r="N78" s="25">
        <f t="shared" si="11"/>
        <v>4.8</v>
      </c>
      <c r="O78" s="88">
        <f t="shared" si="12"/>
        <v>5.1999999999999984</v>
      </c>
      <c r="P78" s="139">
        <f>IF(COUNT(F78:L78)&gt;0,O78*Opcional1GD,"")</f>
        <v>9.8799999999999972</v>
      </c>
      <c r="Q78" s="145"/>
      <c r="R78" s="142"/>
      <c r="S78" s="107"/>
    </row>
    <row r="79" spans="1:19" hidden="1" x14ac:dyDescent="0.3">
      <c r="A79" s="13" t="str">
        <f>D76</f>
        <v>ESTRELLAS DE ANTIOQUIA</v>
      </c>
      <c r="B79" s="108"/>
      <c r="C79" s="109"/>
      <c r="D79" s="108"/>
      <c r="E79" s="89">
        <f>Opcional2Cod</f>
        <v>327</v>
      </c>
      <c r="F79" s="102">
        <v>5.3</v>
      </c>
      <c r="G79" s="99">
        <v>5.4</v>
      </c>
      <c r="H79" s="99">
        <v>5.4</v>
      </c>
      <c r="I79" s="99">
        <v>5.5</v>
      </c>
      <c r="J79" s="99">
        <v>5.7</v>
      </c>
      <c r="K79" s="99" t="str">
        <f t="shared" si="8"/>
        <v/>
      </c>
      <c r="L79" s="99" t="str">
        <f t="shared" si="9"/>
        <v/>
      </c>
      <c r="M79" s="99">
        <f t="shared" si="10"/>
        <v>5.7</v>
      </c>
      <c r="N79" s="99">
        <f t="shared" si="11"/>
        <v>5.3</v>
      </c>
      <c r="O79" s="110">
        <f t="shared" si="12"/>
        <v>5.4333333333333336</v>
      </c>
      <c r="P79" s="140">
        <f>IF(COUNT(F79:L79)&gt;0,O79*Opcional2GD,"")</f>
        <v>9.7800000000000011</v>
      </c>
      <c r="Q79" s="146"/>
      <c r="R79" s="143"/>
      <c r="S79" s="111"/>
    </row>
    <row r="80" spans="1:19" x14ac:dyDescent="0.3">
      <c r="A80" s="13" t="str">
        <f>tblPlanilla[[#This Row],[Club]]</f>
        <v>AQUASWIM</v>
      </c>
      <c r="B80" s="96">
        <v>19</v>
      </c>
      <c r="C80" s="104" t="s">
        <v>153</v>
      </c>
      <c r="D80" s="103" t="s">
        <v>114</v>
      </c>
      <c r="E80" s="89">
        <f>Obligatoria1Cod</f>
        <v>106</v>
      </c>
      <c r="F80" s="112">
        <v>4.5999999999999996</v>
      </c>
      <c r="G80" s="98">
        <v>4.5</v>
      </c>
      <c r="H80" s="98">
        <v>4.5999999999999996</v>
      </c>
      <c r="I80" s="98">
        <v>5.2</v>
      </c>
      <c r="J80" s="98">
        <v>4.7</v>
      </c>
      <c r="K80" s="98" t="str">
        <f t="shared" si="8"/>
        <v/>
      </c>
      <c r="L80" s="98" t="str">
        <f t="shared" si="9"/>
        <v/>
      </c>
      <c r="M80" s="97">
        <f t="shared" si="10"/>
        <v>5.2</v>
      </c>
      <c r="N80" s="97">
        <f t="shared" si="11"/>
        <v>4.5</v>
      </c>
      <c r="O80" s="105">
        <f t="shared" si="12"/>
        <v>4.6333333333333329</v>
      </c>
      <c r="P80" s="138">
        <f>IF(COUNT(F80:L80)&gt;0,O80*Obligatoria1GD,"")</f>
        <v>7.4133333333333331</v>
      </c>
      <c r="Q80" s="144"/>
      <c r="R80" s="141">
        <f>IF(COUNT(F80:L83)&gt;0,SUM(P80:P83),"")</f>
        <v>34.043333333333329</v>
      </c>
      <c r="S80" s="106">
        <f>IF(COUNT(F80:L83)&gt;0,((R80/TotalGD)*10)-SUM(Q80:Q83),0)</f>
        <v>47.282407407407405</v>
      </c>
    </row>
    <row r="81" spans="1:19" x14ac:dyDescent="0.3">
      <c r="A81" s="13" t="str">
        <f>D80</f>
        <v>AQUASWIM</v>
      </c>
      <c r="B81" s="87"/>
      <c r="C81" s="86"/>
      <c r="D81" s="87"/>
      <c r="E81" s="89">
        <f>Obligatoria2Cod</f>
        <v>301</v>
      </c>
      <c r="F81" s="101">
        <v>4.3</v>
      </c>
      <c r="G81" s="25">
        <v>4.2</v>
      </c>
      <c r="H81" s="25">
        <v>4.8</v>
      </c>
      <c r="I81" s="25">
        <v>5.0999999999999996</v>
      </c>
      <c r="J81" s="25">
        <v>4.8</v>
      </c>
      <c r="K81" s="25" t="str">
        <f t="shared" si="8"/>
        <v/>
      </c>
      <c r="L81" s="25" t="str">
        <f t="shared" si="9"/>
        <v/>
      </c>
      <c r="M81" s="25">
        <f t="shared" si="10"/>
        <v>5.0999999999999996</v>
      </c>
      <c r="N81" s="25">
        <f t="shared" si="11"/>
        <v>4.2</v>
      </c>
      <c r="O81" s="88">
        <f t="shared" si="12"/>
        <v>4.6333333333333329</v>
      </c>
      <c r="P81" s="139">
        <f>IF(COUNT(F81:L81)&gt;0,O81*Obligatoria2GD,"")</f>
        <v>8.8033333333333328</v>
      </c>
      <c r="Q81" s="145"/>
      <c r="R81" s="142"/>
      <c r="S81" s="107"/>
    </row>
    <row r="82" spans="1:19" x14ac:dyDescent="0.3">
      <c r="A82" s="13" t="str">
        <f>D80</f>
        <v>AQUASWIM</v>
      </c>
      <c r="B82" s="87"/>
      <c r="C82" s="86"/>
      <c r="D82" s="87"/>
      <c r="E82" s="89">
        <f>Opcional1Cod</f>
        <v>420</v>
      </c>
      <c r="F82" s="113">
        <v>4.5999999999999996</v>
      </c>
      <c r="G82" s="26">
        <v>5.2</v>
      </c>
      <c r="H82" s="26">
        <v>4.8</v>
      </c>
      <c r="I82" s="26">
        <v>5.4</v>
      </c>
      <c r="J82" s="26">
        <v>4.5</v>
      </c>
      <c r="K82" s="26" t="str">
        <f t="shared" si="8"/>
        <v/>
      </c>
      <c r="L82" s="26" t="str">
        <f t="shared" si="9"/>
        <v/>
      </c>
      <c r="M82" s="25">
        <f t="shared" si="10"/>
        <v>5.4</v>
      </c>
      <c r="N82" s="25">
        <f t="shared" si="11"/>
        <v>4.5</v>
      </c>
      <c r="O82" s="88">
        <f t="shared" si="12"/>
        <v>4.8666666666666663</v>
      </c>
      <c r="P82" s="139">
        <f>IF(COUNT(F82:L82)&gt;0,O82*Opcional1GD,"")</f>
        <v>9.2466666666666661</v>
      </c>
      <c r="Q82" s="145"/>
      <c r="R82" s="142"/>
      <c r="S82" s="107"/>
    </row>
    <row r="83" spans="1:19" x14ac:dyDescent="0.3">
      <c r="A83" s="13" t="str">
        <f>D80</f>
        <v>AQUASWIM</v>
      </c>
      <c r="B83" s="108"/>
      <c r="C83" s="109"/>
      <c r="D83" s="108"/>
      <c r="E83" s="89">
        <f>Opcional2Cod</f>
        <v>327</v>
      </c>
      <c r="F83" s="102">
        <v>4.3</v>
      </c>
      <c r="G83" s="99">
        <v>5</v>
      </c>
      <c r="H83" s="99">
        <v>4.5999999999999996</v>
      </c>
      <c r="I83" s="99">
        <v>5.3</v>
      </c>
      <c r="J83" s="99">
        <v>4.7</v>
      </c>
      <c r="K83" s="99" t="str">
        <f t="shared" si="8"/>
        <v/>
      </c>
      <c r="L83" s="99" t="str">
        <f t="shared" si="9"/>
        <v/>
      </c>
      <c r="M83" s="99">
        <f t="shared" si="10"/>
        <v>5.3</v>
      </c>
      <c r="N83" s="99">
        <f t="shared" si="11"/>
        <v>4.3</v>
      </c>
      <c r="O83" s="110">
        <f t="shared" si="12"/>
        <v>4.7666666666666666</v>
      </c>
      <c r="P83" s="140">
        <f>IF(COUNT(F83:L83)&gt;0,O83*Opcional2GD,"")</f>
        <v>8.58</v>
      </c>
      <c r="Q83" s="146"/>
      <c r="R83" s="143"/>
      <c r="S83" s="111"/>
    </row>
    <row r="84" spans="1:19" hidden="1" x14ac:dyDescent="0.3">
      <c r="A84" s="13" t="str">
        <f>tblPlanilla[[#This Row],[Club]]</f>
        <v>SINCROANTIOQUIA NADO</v>
      </c>
      <c r="B84" s="96">
        <v>20</v>
      </c>
      <c r="C84" s="104" t="s">
        <v>135</v>
      </c>
      <c r="D84" s="103" t="s">
        <v>122</v>
      </c>
      <c r="E84" s="89">
        <f>Obligatoria1Cod</f>
        <v>106</v>
      </c>
      <c r="F84" s="112">
        <v>3.8</v>
      </c>
      <c r="G84" s="98">
        <v>3.3</v>
      </c>
      <c r="H84" s="98">
        <v>3.6</v>
      </c>
      <c r="I84" s="98">
        <v>3.6</v>
      </c>
      <c r="J84" s="98">
        <v>4.0999999999999996</v>
      </c>
      <c r="K84" s="98" t="str">
        <f t="shared" si="8"/>
        <v/>
      </c>
      <c r="L84" s="98" t="str">
        <f t="shared" si="9"/>
        <v/>
      </c>
      <c r="M84" s="97">
        <f t="shared" si="10"/>
        <v>4.0999999999999996</v>
      </c>
      <c r="N84" s="97">
        <f t="shared" si="11"/>
        <v>3.3</v>
      </c>
      <c r="O84" s="105">
        <f t="shared" si="12"/>
        <v>3.6666666666666665</v>
      </c>
      <c r="P84" s="138">
        <f>IF(COUNT(F84:L84)&gt;0,O84*Obligatoria1GD,"")</f>
        <v>5.8666666666666671</v>
      </c>
      <c r="Q84" s="144"/>
      <c r="R84" s="141">
        <f>IF(COUNT(F84:L87)&gt;0,SUM(P84:P87),"")</f>
        <v>10.3</v>
      </c>
      <c r="S84" s="106">
        <f>IF(COUNT(F84:L87)&gt;0,((R84/TotalGD)*10)-SUM(Q84:Q87),0)</f>
        <v>14.305555555555555</v>
      </c>
    </row>
    <row r="85" spans="1:19" hidden="1" x14ac:dyDescent="0.3">
      <c r="A85" s="13" t="str">
        <f>D84</f>
        <v>SINCROANTIOQUIA NADO</v>
      </c>
      <c r="B85" s="87"/>
      <c r="C85" s="86"/>
      <c r="D85" s="87"/>
      <c r="E85" s="89">
        <f>Obligatoria2Cod</f>
        <v>301</v>
      </c>
      <c r="F85" s="101">
        <v>2</v>
      </c>
      <c r="G85" s="25">
        <v>2</v>
      </c>
      <c r="H85" s="25">
        <v>3</v>
      </c>
      <c r="I85" s="25">
        <v>3.2</v>
      </c>
      <c r="J85" s="25">
        <v>2</v>
      </c>
      <c r="K85" s="25" t="str">
        <f t="shared" si="8"/>
        <v/>
      </c>
      <c r="L85" s="25" t="str">
        <f t="shared" si="9"/>
        <v/>
      </c>
      <c r="M85" s="25">
        <f t="shared" si="10"/>
        <v>3.2</v>
      </c>
      <c r="N85" s="25">
        <f t="shared" si="11"/>
        <v>2</v>
      </c>
      <c r="O85" s="88">
        <f t="shared" si="12"/>
        <v>2.333333333333333</v>
      </c>
      <c r="P85" s="139">
        <f>IF(COUNT(F85:L85)&gt;0,O85*Obligatoria2GD,"")</f>
        <v>4.4333333333333327</v>
      </c>
      <c r="Q85" s="145"/>
      <c r="R85" s="142"/>
      <c r="S85" s="107"/>
    </row>
    <row r="86" spans="1:19" hidden="1" x14ac:dyDescent="0.3">
      <c r="A86" s="13" t="str">
        <f>D84</f>
        <v>SINCROANTIOQUIA NADO</v>
      </c>
      <c r="B86" s="87"/>
      <c r="C86" s="86"/>
      <c r="D86" s="87"/>
      <c r="E86" s="89">
        <f>Opcional1Cod</f>
        <v>420</v>
      </c>
      <c r="F86" s="194"/>
      <c r="G86" s="195"/>
      <c r="H86" s="195" t="str">
        <f>IF(JuecesPanel&gt;=3,"",IF((JuecesPanel+JuecesCalc)&lt;3,"",IF(COUNT(F86:G86)&gt;0,AVERAGE(F86:G86),"")))</f>
        <v/>
      </c>
      <c r="I86" s="195" t="str">
        <f>IF(JuecesPanel&gt;=4,"",IF((JuecesPanel+JuecesCalc)&lt;4,"",IF(COUNT(F86:H86)&gt;0,AVERAGE(F86:H86),"")))</f>
        <v/>
      </c>
      <c r="J86" s="195" t="str">
        <f>IF(JuecesPanel&gt;=5,"",IF((JuecesPanel+JuecesCalc)&lt;5,"",IF(COUNT(F86:I86)&gt;0,AVERAGE(F86:I86),"")))</f>
        <v/>
      </c>
      <c r="K86" s="195" t="str">
        <f t="shared" si="8"/>
        <v/>
      </c>
      <c r="L86" s="195" t="str">
        <f t="shared" si="9"/>
        <v/>
      </c>
      <c r="M86" s="195" t="str">
        <f t="shared" si="10"/>
        <v/>
      </c>
      <c r="N86" s="195" t="str">
        <f t="shared" si="11"/>
        <v/>
      </c>
      <c r="O86" s="196" t="str">
        <f t="shared" si="12"/>
        <v/>
      </c>
      <c r="P86" s="197" t="str">
        <f>IF(COUNT(F86:L86)&gt;0,O86*Opcional1GD,"")</f>
        <v/>
      </c>
      <c r="Q86" s="198"/>
      <c r="R86" s="142"/>
      <c r="S86" s="107"/>
    </row>
    <row r="87" spans="1:19" hidden="1" x14ac:dyDescent="0.3">
      <c r="A87" s="13" t="str">
        <f>D84</f>
        <v>SINCROANTIOQUIA NADO</v>
      </c>
      <c r="B87" s="108"/>
      <c r="C87" s="109"/>
      <c r="D87" s="108"/>
      <c r="E87" s="89">
        <f>Opcional2Cod</f>
        <v>327</v>
      </c>
      <c r="F87" s="199"/>
      <c r="G87" s="200"/>
      <c r="H87" s="200" t="str">
        <f>IF(JuecesPanel&gt;=3,"",IF((JuecesPanel+JuecesCalc)&lt;3,"",IF(COUNT(F87:G87)&gt;0,AVERAGE(F87:G87),"")))</f>
        <v/>
      </c>
      <c r="I87" s="200" t="str">
        <f>IF(JuecesPanel&gt;=4,"",IF((JuecesPanel+JuecesCalc)&lt;4,"",IF(COUNT(F87:H87)&gt;0,AVERAGE(F87:H87),"")))</f>
        <v/>
      </c>
      <c r="J87" s="200" t="str">
        <f>IF(JuecesPanel&gt;=5,"",IF((JuecesPanel+JuecesCalc)&lt;5,"",IF(COUNT(F87:I87)&gt;0,AVERAGE(F87:I87),"")))</f>
        <v/>
      </c>
      <c r="K87" s="200" t="str">
        <f t="shared" si="8"/>
        <v/>
      </c>
      <c r="L87" s="200" t="str">
        <f t="shared" si="9"/>
        <v/>
      </c>
      <c r="M87" s="200" t="str">
        <f t="shared" si="10"/>
        <v/>
      </c>
      <c r="N87" s="200" t="str">
        <f t="shared" si="11"/>
        <v/>
      </c>
      <c r="O87" s="201" t="str">
        <f t="shared" si="12"/>
        <v/>
      </c>
      <c r="P87" s="202" t="str">
        <f>IF(COUNT(F87:L87)&gt;0,O87*Opcional2GD,"")</f>
        <v/>
      </c>
      <c r="Q87" s="203"/>
      <c r="R87" s="143"/>
      <c r="S87" s="111"/>
    </row>
    <row r="88" spans="1:19" hidden="1" x14ac:dyDescent="0.3">
      <c r="A88" s="13" t="str">
        <f>tblPlanilla[[#This Row],[Club]]</f>
        <v>ESTRELLAS DE ANTIOQUIA</v>
      </c>
      <c r="B88" s="96">
        <v>21</v>
      </c>
      <c r="C88" s="104" t="s">
        <v>154</v>
      </c>
      <c r="D88" s="103" t="s">
        <v>121</v>
      </c>
      <c r="E88" s="89">
        <f>Obligatoria1Cod</f>
        <v>106</v>
      </c>
      <c r="F88" s="112">
        <v>4.9000000000000004</v>
      </c>
      <c r="G88" s="98">
        <v>4.2</v>
      </c>
      <c r="H88" s="98">
        <v>4.5999999999999996</v>
      </c>
      <c r="I88" s="98">
        <v>4.7</v>
      </c>
      <c r="J88" s="98">
        <v>4.9000000000000004</v>
      </c>
      <c r="K88" s="98" t="str">
        <f t="shared" ref="K88:K119" si="13">IF(JuecesPanel&gt;=6,"",IF((JuecesPanel+JuecesCalc)&lt;6,"",IF(COUNT(F88:J88)&gt;0,AVERAGE(F88:J88),"")))</f>
        <v/>
      </c>
      <c r="L88" s="98" t="str">
        <f t="shared" ref="L88:L119" si="14">IF(JuecesPanel&gt;=7,"",IF((JuecesPanel+JuecesCalc)&lt;7,"",IF(COUNT(F88:K88)&gt;0,AVERAGE(F88:K88),"")))</f>
        <v/>
      </c>
      <c r="M88" s="97">
        <f t="shared" si="10"/>
        <v>4.9000000000000004</v>
      </c>
      <c r="N88" s="97">
        <f t="shared" si="11"/>
        <v>4.2</v>
      </c>
      <c r="O88" s="105">
        <f t="shared" si="12"/>
        <v>4.7333333333333343</v>
      </c>
      <c r="P88" s="138">
        <f>IF(COUNT(F88:L88)&gt;0,O88*Obligatoria1GD,"")</f>
        <v>7.573333333333335</v>
      </c>
      <c r="Q88" s="144"/>
      <c r="R88" s="141">
        <f>IF(COUNT(F88:L91)&gt;0,SUM(P88:P91),"")</f>
        <v>32.643333333333338</v>
      </c>
      <c r="S88" s="106">
        <f>IF(COUNT(F88:L91)&gt;0,((R88/TotalGD)*10)-SUM(Q88:Q91),0)</f>
        <v>45.337962962962962</v>
      </c>
    </row>
    <row r="89" spans="1:19" hidden="1" x14ac:dyDescent="0.3">
      <c r="A89" s="13" t="str">
        <f>D88</f>
        <v>ESTRELLAS DE ANTIOQUIA</v>
      </c>
      <c r="B89" s="87"/>
      <c r="C89" s="86"/>
      <c r="D89" s="87"/>
      <c r="E89" s="89">
        <f>Obligatoria2Cod</f>
        <v>301</v>
      </c>
      <c r="F89" s="101">
        <v>4.9000000000000004</v>
      </c>
      <c r="G89" s="25">
        <v>4.7</v>
      </c>
      <c r="H89" s="25">
        <v>4.5999999999999996</v>
      </c>
      <c r="I89" s="25">
        <v>4.0999999999999996</v>
      </c>
      <c r="J89" s="25">
        <v>4.3</v>
      </c>
      <c r="K89" s="25" t="str">
        <f t="shared" si="13"/>
        <v/>
      </c>
      <c r="L89" s="25" t="str">
        <f t="shared" si="14"/>
        <v/>
      </c>
      <c r="M89" s="25">
        <f t="shared" si="10"/>
        <v>4.9000000000000004</v>
      </c>
      <c r="N89" s="25">
        <f t="shared" si="11"/>
        <v>4.0999999999999996</v>
      </c>
      <c r="O89" s="88">
        <f t="shared" si="12"/>
        <v>4.5333333333333341</v>
      </c>
      <c r="P89" s="139">
        <f>IF(COUNT(F89:L89)&gt;0,O89*Obligatoria2GD,"")</f>
        <v>8.6133333333333351</v>
      </c>
      <c r="Q89" s="145"/>
      <c r="R89" s="142"/>
      <c r="S89" s="107"/>
    </row>
    <row r="90" spans="1:19" hidden="1" x14ac:dyDescent="0.3">
      <c r="A90" s="13" t="str">
        <f>D88</f>
        <v>ESTRELLAS DE ANTIOQUIA</v>
      </c>
      <c r="B90" s="87"/>
      <c r="C90" s="86"/>
      <c r="D90" s="87"/>
      <c r="E90" s="89">
        <f>Opcional1Cod</f>
        <v>420</v>
      </c>
      <c r="F90" s="113">
        <v>4.4000000000000004</v>
      </c>
      <c r="G90" s="26">
        <v>4.2</v>
      </c>
      <c r="H90" s="26">
        <v>4</v>
      </c>
      <c r="I90" s="26">
        <v>4.5</v>
      </c>
      <c r="J90" s="26">
        <v>4.7</v>
      </c>
      <c r="K90" s="26" t="str">
        <f t="shared" si="13"/>
        <v/>
      </c>
      <c r="L90" s="26" t="str">
        <f t="shared" si="14"/>
        <v/>
      </c>
      <c r="M90" s="25">
        <f t="shared" si="10"/>
        <v>4.7</v>
      </c>
      <c r="N90" s="25">
        <f t="shared" si="11"/>
        <v>4</v>
      </c>
      <c r="O90" s="88">
        <f t="shared" si="12"/>
        <v>4.3666666666666671</v>
      </c>
      <c r="P90" s="139">
        <f>IF(COUNT(F90:L90)&gt;0,O90*Opcional1GD,"")</f>
        <v>8.2966666666666669</v>
      </c>
      <c r="Q90" s="145"/>
      <c r="R90" s="142"/>
      <c r="S90" s="107"/>
    </row>
    <row r="91" spans="1:19" hidden="1" x14ac:dyDescent="0.3">
      <c r="A91" s="13" t="str">
        <f>D88</f>
        <v>ESTRELLAS DE ANTIOQUIA</v>
      </c>
      <c r="B91" s="108"/>
      <c r="C91" s="109"/>
      <c r="D91" s="108"/>
      <c r="E91" s="89">
        <f>Opcional2Cod</f>
        <v>327</v>
      </c>
      <c r="F91" s="102">
        <v>4.2</v>
      </c>
      <c r="G91" s="99">
        <v>4.5999999999999996</v>
      </c>
      <c r="H91" s="99">
        <v>4.4000000000000004</v>
      </c>
      <c r="I91" s="99">
        <v>4.5999999999999996</v>
      </c>
      <c r="J91" s="99">
        <v>4.9000000000000004</v>
      </c>
      <c r="K91" s="99" t="str">
        <f t="shared" si="13"/>
        <v/>
      </c>
      <c r="L91" s="99" t="str">
        <f t="shared" si="14"/>
        <v/>
      </c>
      <c r="M91" s="99">
        <f t="shared" si="10"/>
        <v>4.9000000000000004</v>
      </c>
      <c r="N91" s="99">
        <f t="shared" si="11"/>
        <v>4.2</v>
      </c>
      <c r="O91" s="110">
        <f t="shared" si="12"/>
        <v>4.5333333333333341</v>
      </c>
      <c r="P91" s="140">
        <f>IF(COUNT(F91:L91)&gt;0,O91*Opcional2GD,"")</f>
        <v>8.1600000000000019</v>
      </c>
      <c r="Q91" s="146"/>
      <c r="R91" s="143"/>
      <c r="S91" s="111"/>
    </row>
    <row r="92" spans="1:19" hidden="1" x14ac:dyDescent="0.3">
      <c r="A92" s="13" t="str">
        <f>tblPlanilla[[#This Row],[Club]]</f>
        <v>ESTRELLAS DE ANTIOQUIA</v>
      </c>
      <c r="B92" s="96">
        <v>22</v>
      </c>
      <c r="C92" s="104" t="s">
        <v>155</v>
      </c>
      <c r="D92" s="103" t="s">
        <v>121</v>
      </c>
      <c r="E92" s="89">
        <f>Obligatoria1Cod</f>
        <v>106</v>
      </c>
      <c r="F92" s="112">
        <v>4.5</v>
      </c>
      <c r="G92" s="98">
        <v>4.5</v>
      </c>
      <c r="H92" s="98">
        <v>4.4000000000000004</v>
      </c>
      <c r="I92" s="98">
        <v>5.2</v>
      </c>
      <c r="J92" s="98">
        <v>4.5</v>
      </c>
      <c r="K92" s="98" t="str">
        <f t="shared" si="13"/>
        <v/>
      </c>
      <c r="L92" s="98" t="str">
        <f t="shared" si="14"/>
        <v/>
      </c>
      <c r="M92" s="97">
        <f t="shared" si="10"/>
        <v>5.2</v>
      </c>
      <c r="N92" s="97">
        <f t="shared" si="11"/>
        <v>4.4000000000000004</v>
      </c>
      <c r="O92" s="105">
        <f t="shared" si="12"/>
        <v>4.5</v>
      </c>
      <c r="P92" s="138">
        <f>IF(COUNT(F92:L92)&gt;0,O92*Obligatoria1GD,"")</f>
        <v>7.2</v>
      </c>
      <c r="Q92" s="144"/>
      <c r="R92" s="141">
        <f>IF(COUNT(F92:L95)&gt;0,SUM(P92:P95),"")</f>
        <v>33.553333333333335</v>
      </c>
      <c r="S92" s="106">
        <f>IF(COUNT(F92:L95)&gt;0,((R92/TotalGD)*10)-SUM(Q92:Q95),0)</f>
        <v>46.601851851851855</v>
      </c>
    </row>
    <row r="93" spans="1:19" hidden="1" x14ac:dyDescent="0.3">
      <c r="A93" s="13" t="str">
        <f>D92</f>
        <v>ESTRELLAS DE ANTIOQUIA</v>
      </c>
      <c r="B93" s="87"/>
      <c r="C93" s="86"/>
      <c r="D93" s="87"/>
      <c r="E93" s="89">
        <f>Obligatoria2Cod</f>
        <v>301</v>
      </c>
      <c r="F93" s="101">
        <v>4.3</v>
      </c>
      <c r="G93" s="25">
        <v>4.3</v>
      </c>
      <c r="H93" s="25">
        <v>4.3</v>
      </c>
      <c r="I93" s="25">
        <v>4.5999999999999996</v>
      </c>
      <c r="J93" s="25">
        <v>4.9000000000000004</v>
      </c>
      <c r="K93" s="25" t="str">
        <f t="shared" si="13"/>
        <v/>
      </c>
      <c r="L93" s="25" t="str">
        <f t="shared" si="14"/>
        <v/>
      </c>
      <c r="M93" s="25">
        <f t="shared" si="10"/>
        <v>4.9000000000000004</v>
      </c>
      <c r="N93" s="25">
        <f t="shared" si="11"/>
        <v>4.3</v>
      </c>
      <c r="O93" s="88">
        <f t="shared" si="12"/>
        <v>4.3999999999999995</v>
      </c>
      <c r="P93" s="139">
        <f>IF(COUNT(F93:L93)&gt;0,O93*Obligatoria2GD,"")</f>
        <v>8.36</v>
      </c>
      <c r="Q93" s="145"/>
      <c r="R93" s="142"/>
      <c r="S93" s="107"/>
    </row>
    <row r="94" spans="1:19" hidden="1" x14ac:dyDescent="0.3">
      <c r="A94" s="13" t="str">
        <f>D92</f>
        <v>ESTRELLAS DE ANTIOQUIA</v>
      </c>
      <c r="B94" s="87"/>
      <c r="C94" s="86"/>
      <c r="D94" s="87"/>
      <c r="E94" s="89">
        <f>Opcional1Cod</f>
        <v>420</v>
      </c>
      <c r="F94" s="113">
        <v>4.5</v>
      </c>
      <c r="G94" s="26">
        <v>4.8</v>
      </c>
      <c r="H94" s="26">
        <v>4.5</v>
      </c>
      <c r="I94" s="26">
        <v>5</v>
      </c>
      <c r="J94" s="26">
        <v>4.9000000000000004</v>
      </c>
      <c r="K94" s="26" t="str">
        <f t="shared" si="13"/>
        <v/>
      </c>
      <c r="L94" s="26" t="str">
        <f t="shared" si="14"/>
        <v/>
      </c>
      <c r="M94" s="25">
        <f t="shared" si="10"/>
        <v>5</v>
      </c>
      <c r="N94" s="25">
        <f t="shared" si="11"/>
        <v>4.5</v>
      </c>
      <c r="O94" s="88">
        <f t="shared" si="12"/>
        <v>4.7333333333333343</v>
      </c>
      <c r="P94" s="139">
        <f>IF(COUNT(F94:L94)&gt;0,O94*Opcional1GD,"")</f>
        <v>8.9933333333333341</v>
      </c>
      <c r="Q94" s="145"/>
      <c r="R94" s="142"/>
      <c r="S94" s="107"/>
    </row>
    <row r="95" spans="1:19" hidden="1" x14ac:dyDescent="0.3">
      <c r="A95" s="13" t="str">
        <f>D92</f>
        <v>ESTRELLAS DE ANTIOQUIA</v>
      </c>
      <c r="B95" s="108"/>
      <c r="C95" s="109"/>
      <c r="D95" s="108"/>
      <c r="E95" s="89">
        <f>Opcional2Cod</f>
        <v>327</v>
      </c>
      <c r="F95" s="102">
        <v>4.7</v>
      </c>
      <c r="G95" s="99">
        <v>5</v>
      </c>
      <c r="H95" s="99">
        <v>4.2</v>
      </c>
      <c r="I95" s="99">
        <v>5.3</v>
      </c>
      <c r="J95" s="99">
        <v>5.8</v>
      </c>
      <c r="K95" s="99" t="str">
        <f t="shared" si="13"/>
        <v/>
      </c>
      <c r="L95" s="99" t="str">
        <f t="shared" si="14"/>
        <v/>
      </c>
      <c r="M95" s="99">
        <f t="shared" si="10"/>
        <v>5.8</v>
      </c>
      <c r="N95" s="99">
        <f t="shared" si="11"/>
        <v>4.2</v>
      </c>
      <c r="O95" s="110">
        <f t="shared" si="12"/>
        <v>5</v>
      </c>
      <c r="P95" s="140">
        <f>IF(COUNT(F95:L95)&gt;0,O95*Opcional2GD,"")</f>
        <v>9</v>
      </c>
      <c r="Q95" s="146"/>
      <c r="R95" s="143"/>
      <c r="S95" s="111"/>
    </row>
    <row r="96" spans="1:19" x14ac:dyDescent="0.3">
      <c r="A96" s="13" t="str">
        <f>tblPlanilla[[#This Row],[Club]]</f>
        <v>AQUASWIM</v>
      </c>
      <c r="B96" s="96">
        <v>23</v>
      </c>
      <c r="C96" s="104" t="s">
        <v>125</v>
      </c>
      <c r="D96" s="103" t="s">
        <v>114</v>
      </c>
      <c r="E96" s="89">
        <f>Obligatoria1Cod</f>
        <v>106</v>
      </c>
      <c r="F96" s="112">
        <v>4</v>
      </c>
      <c r="G96" s="98">
        <v>3.5</v>
      </c>
      <c r="H96" s="98">
        <v>3.8</v>
      </c>
      <c r="I96" s="98">
        <v>4.5999999999999996</v>
      </c>
      <c r="J96" s="98">
        <v>4.2</v>
      </c>
      <c r="K96" s="98" t="str">
        <f t="shared" si="13"/>
        <v/>
      </c>
      <c r="L96" s="98" t="str">
        <f t="shared" si="14"/>
        <v/>
      </c>
      <c r="M96" s="97">
        <f t="shared" si="10"/>
        <v>4.5999999999999996</v>
      </c>
      <c r="N96" s="97">
        <f t="shared" si="11"/>
        <v>3.5</v>
      </c>
      <c r="O96" s="105">
        <f t="shared" si="12"/>
        <v>4.0000000000000009</v>
      </c>
      <c r="P96" s="138">
        <f>IF(COUNT(F96:L96)&gt;0,O96*Obligatoria1GD,"")</f>
        <v>6.4000000000000021</v>
      </c>
      <c r="Q96" s="144"/>
      <c r="R96" s="141">
        <f>IF(COUNT(F96:L99)&gt;0,SUM(P96:P99),"")</f>
        <v>30.29666666666667</v>
      </c>
      <c r="S96" s="106">
        <f>IF(COUNT(F96:L99)&gt;0,((R96/TotalGD)*10)-SUM(Q96:Q99),0)</f>
        <v>42.078703703703709</v>
      </c>
    </row>
    <row r="97" spans="1:19" x14ac:dyDescent="0.3">
      <c r="A97" s="13" t="str">
        <f>D96</f>
        <v>AQUASWIM</v>
      </c>
      <c r="B97" s="87"/>
      <c r="C97" s="86"/>
      <c r="D97" s="87"/>
      <c r="E97" s="89">
        <f>Obligatoria2Cod</f>
        <v>301</v>
      </c>
      <c r="F97" s="101">
        <v>4.2</v>
      </c>
      <c r="G97" s="25">
        <v>4.0999999999999996</v>
      </c>
      <c r="H97" s="25">
        <v>4.4000000000000004</v>
      </c>
      <c r="I97" s="25">
        <v>4</v>
      </c>
      <c r="J97" s="25">
        <v>5</v>
      </c>
      <c r="K97" s="25" t="str">
        <f t="shared" si="13"/>
        <v/>
      </c>
      <c r="L97" s="25" t="str">
        <f t="shared" si="14"/>
        <v/>
      </c>
      <c r="M97" s="25">
        <f t="shared" si="10"/>
        <v>5</v>
      </c>
      <c r="N97" s="25">
        <f t="shared" si="11"/>
        <v>4</v>
      </c>
      <c r="O97" s="88">
        <f t="shared" si="12"/>
        <v>4.2333333333333343</v>
      </c>
      <c r="P97" s="139">
        <f>IF(COUNT(F97:L97)&gt;0,O97*Obligatoria2GD,"")</f>
        <v>8.0433333333333348</v>
      </c>
      <c r="Q97" s="145"/>
      <c r="R97" s="142"/>
      <c r="S97" s="107"/>
    </row>
    <row r="98" spans="1:19" x14ac:dyDescent="0.3">
      <c r="A98" s="13" t="str">
        <f>D96</f>
        <v>AQUASWIM</v>
      </c>
      <c r="B98" s="87"/>
      <c r="C98" s="86"/>
      <c r="D98" s="87"/>
      <c r="E98" s="89">
        <f>Opcional1Cod</f>
        <v>420</v>
      </c>
      <c r="F98" s="113">
        <v>4.3</v>
      </c>
      <c r="G98" s="26">
        <v>4.5</v>
      </c>
      <c r="H98" s="26">
        <v>4.0999999999999996</v>
      </c>
      <c r="I98" s="26">
        <v>4.2</v>
      </c>
      <c r="J98" s="26">
        <v>4.5</v>
      </c>
      <c r="K98" s="26" t="str">
        <f t="shared" si="13"/>
        <v/>
      </c>
      <c r="L98" s="26" t="str">
        <f t="shared" si="14"/>
        <v/>
      </c>
      <c r="M98" s="25">
        <f t="shared" si="10"/>
        <v>4.5</v>
      </c>
      <c r="N98" s="25">
        <f t="shared" si="11"/>
        <v>4.0999999999999996</v>
      </c>
      <c r="O98" s="88">
        <f t="shared" si="12"/>
        <v>4.3333333333333339</v>
      </c>
      <c r="P98" s="139">
        <f>IF(COUNT(F98:L98)&gt;0,O98*Opcional1GD,"")</f>
        <v>8.2333333333333343</v>
      </c>
      <c r="Q98" s="145"/>
      <c r="R98" s="142"/>
      <c r="S98" s="107"/>
    </row>
    <row r="99" spans="1:19" x14ac:dyDescent="0.3">
      <c r="A99" s="13" t="str">
        <f>D96</f>
        <v>AQUASWIM</v>
      </c>
      <c r="B99" s="108"/>
      <c r="C99" s="109"/>
      <c r="D99" s="108"/>
      <c r="E99" s="89">
        <f>Opcional2Cod</f>
        <v>327</v>
      </c>
      <c r="F99" s="102">
        <v>4.0999999999999996</v>
      </c>
      <c r="G99" s="99">
        <v>4.2</v>
      </c>
      <c r="H99" s="99">
        <v>4.3</v>
      </c>
      <c r="I99" s="99">
        <v>4.2</v>
      </c>
      <c r="J99" s="99">
        <v>4.8</v>
      </c>
      <c r="K99" s="99" t="str">
        <f t="shared" si="13"/>
        <v/>
      </c>
      <c r="L99" s="99" t="str">
        <f t="shared" si="14"/>
        <v/>
      </c>
      <c r="M99" s="99">
        <f t="shared" si="10"/>
        <v>4.8</v>
      </c>
      <c r="N99" s="99">
        <f t="shared" si="11"/>
        <v>4.0999999999999996</v>
      </c>
      <c r="O99" s="110">
        <f t="shared" si="12"/>
        <v>4.2333333333333343</v>
      </c>
      <c r="P99" s="140">
        <f>IF(COUNT(F99:L99)&gt;0,O99*Opcional2GD,"")</f>
        <v>7.6200000000000019</v>
      </c>
      <c r="Q99" s="146"/>
      <c r="R99" s="143"/>
      <c r="S99" s="111"/>
    </row>
    <row r="100" spans="1:19" hidden="1" x14ac:dyDescent="0.3">
      <c r="A100" s="13" t="str">
        <f>tblPlanilla[[#This Row],[Club]]</f>
        <v>ESTRELLAS DE ANTIOQUIA</v>
      </c>
      <c r="B100" s="96">
        <v>24</v>
      </c>
      <c r="C100" s="104" t="s">
        <v>156</v>
      </c>
      <c r="D100" s="103" t="s">
        <v>121</v>
      </c>
      <c r="E100" s="89">
        <f>Obligatoria1Cod</f>
        <v>106</v>
      </c>
      <c r="F100" s="112">
        <v>4.8</v>
      </c>
      <c r="G100" s="98">
        <v>5</v>
      </c>
      <c r="H100" s="98">
        <v>4.3</v>
      </c>
      <c r="I100" s="98">
        <v>5.3</v>
      </c>
      <c r="J100" s="98">
        <v>5</v>
      </c>
      <c r="K100" s="98" t="str">
        <f t="shared" si="13"/>
        <v/>
      </c>
      <c r="L100" s="98" t="str">
        <f t="shared" si="14"/>
        <v/>
      </c>
      <c r="M100" s="97">
        <f t="shared" si="10"/>
        <v>5.3</v>
      </c>
      <c r="N100" s="97">
        <f t="shared" si="11"/>
        <v>4.3</v>
      </c>
      <c r="O100" s="105">
        <f t="shared" si="12"/>
        <v>4.9333333333333345</v>
      </c>
      <c r="P100" s="138">
        <f>IF(COUNT(F100:L100)&gt;0,O100*Obligatoria1GD,"")</f>
        <v>7.8933333333333353</v>
      </c>
      <c r="Q100" s="144"/>
      <c r="R100" s="141">
        <f>IF(COUNT(F100:L103)&gt;0,SUM(P100:P103),"")</f>
        <v>35.19</v>
      </c>
      <c r="S100" s="106">
        <f>IF(COUNT(F100:L103)&gt;0,((R100/TotalGD)*10)-SUM(Q100:Q103),0)</f>
        <v>48.874999999999993</v>
      </c>
    </row>
    <row r="101" spans="1:19" hidden="1" x14ac:dyDescent="0.3">
      <c r="A101" s="13" t="str">
        <f>D100</f>
        <v>ESTRELLAS DE ANTIOQUIA</v>
      </c>
      <c r="B101" s="87"/>
      <c r="C101" s="86"/>
      <c r="D101" s="87"/>
      <c r="E101" s="89">
        <f>Obligatoria2Cod</f>
        <v>301</v>
      </c>
      <c r="F101" s="101">
        <v>4.7</v>
      </c>
      <c r="G101" s="25">
        <v>4.4000000000000004</v>
      </c>
      <c r="H101" s="25">
        <v>5.2</v>
      </c>
      <c r="I101" s="25">
        <v>5</v>
      </c>
      <c r="J101" s="25">
        <v>5.0999999999999996</v>
      </c>
      <c r="K101" s="25" t="str">
        <f t="shared" si="13"/>
        <v/>
      </c>
      <c r="L101" s="25" t="str">
        <f t="shared" si="14"/>
        <v/>
      </c>
      <c r="M101" s="25">
        <f t="shared" si="10"/>
        <v>5.2</v>
      </c>
      <c r="N101" s="25">
        <f t="shared" si="11"/>
        <v>4.4000000000000004</v>
      </c>
      <c r="O101" s="88">
        <f t="shared" si="12"/>
        <v>4.9333333333333327</v>
      </c>
      <c r="P101" s="139">
        <f>IF(COUNT(F101:L101)&gt;0,O101*Obligatoria2GD,"")</f>
        <v>9.3733333333333313</v>
      </c>
      <c r="Q101" s="145"/>
      <c r="R101" s="142"/>
      <c r="S101" s="107"/>
    </row>
    <row r="102" spans="1:19" hidden="1" x14ac:dyDescent="0.3">
      <c r="A102" s="13" t="str">
        <f>D100</f>
        <v>ESTRELLAS DE ANTIOQUIA</v>
      </c>
      <c r="B102" s="87"/>
      <c r="C102" s="86"/>
      <c r="D102" s="87"/>
      <c r="E102" s="89">
        <f>Opcional1Cod</f>
        <v>420</v>
      </c>
      <c r="F102" s="113">
        <v>4</v>
      </c>
      <c r="G102" s="26">
        <v>4.3</v>
      </c>
      <c r="H102" s="26">
        <v>4.7</v>
      </c>
      <c r="I102" s="26">
        <v>5.0999999999999996</v>
      </c>
      <c r="J102" s="26">
        <v>4.9000000000000004</v>
      </c>
      <c r="K102" s="26" t="str">
        <f t="shared" si="13"/>
        <v/>
      </c>
      <c r="L102" s="26" t="str">
        <f t="shared" si="14"/>
        <v/>
      </c>
      <c r="M102" s="25">
        <f t="shared" si="10"/>
        <v>5.0999999999999996</v>
      </c>
      <c r="N102" s="25">
        <f t="shared" si="11"/>
        <v>4</v>
      </c>
      <c r="O102" s="88">
        <f t="shared" si="12"/>
        <v>4.6333333333333337</v>
      </c>
      <c r="P102" s="139">
        <f>IF(COUNT(F102:L102)&gt;0,O102*Opcional1GD,"")</f>
        <v>8.8033333333333346</v>
      </c>
      <c r="Q102" s="145"/>
      <c r="R102" s="142"/>
      <c r="S102" s="107"/>
    </row>
    <row r="103" spans="1:19" hidden="1" x14ac:dyDescent="0.3">
      <c r="A103" s="13" t="str">
        <f>D100</f>
        <v>ESTRELLAS DE ANTIOQUIA</v>
      </c>
      <c r="B103" s="108"/>
      <c r="C103" s="109"/>
      <c r="D103" s="108"/>
      <c r="E103" s="89">
        <f>Opcional2Cod</f>
        <v>327</v>
      </c>
      <c r="F103" s="102">
        <v>4.9000000000000004</v>
      </c>
      <c r="G103" s="99">
        <v>4.7</v>
      </c>
      <c r="H103" s="99">
        <v>5.2</v>
      </c>
      <c r="I103" s="99">
        <v>5.2</v>
      </c>
      <c r="J103" s="99">
        <v>5.0999999999999996</v>
      </c>
      <c r="K103" s="99" t="str">
        <f t="shared" si="13"/>
        <v/>
      </c>
      <c r="L103" s="99" t="str">
        <f t="shared" si="14"/>
        <v/>
      </c>
      <c r="M103" s="99">
        <f t="shared" si="10"/>
        <v>5.2</v>
      </c>
      <c r="N103" s="99">
        <f t="shared" si="11"/>
        <v>4.7</v>
      </c>
      <c r="O103" s="110">
        <f t="shared" si="12"/>
        <v>5.0666666666666673</v>
      </c>
      <c r="P103" s="140">
        <f>IF(COUNT(F103:L103)&gt;0,O103*Opcional2GD,"")</f>
        <v>9.120000000000001</v>
      </c>
      <c r="Q103" s="146"/>
      <c r="R103" s="143"/>
      <c r="S103" s="111"/>
    </row>
    <row r="104" spans="1:19" hidden="1" x14ac:dyDescent="0.3">
      <c r="A104" s="13" t="str">
        <f>tblPlanilla[[#This Row],[Club]]</f>
        <v>SELECCIÃ“N ANTIOQUIA</v>
      </c>
      <c r="B104" s="96">
        <v>25</v>
      </c>
      <c r="C104" s="104" t="s">
        <v>127</v>
      </c>
      <c r="D104" s="103" t="s">
        <v>123</v>
      </c>
      <c r="E104" s="89">
        <f>Obligatoria1Cod</f>
        <v>106</v>
      </c>
      <c r="F104" s="112">
        <v>5.0999999999999996</v>
      </c>
      <c r="G104" s="98">
        <v>5.0999999999999996</v>
      </c>
      <c r="H104" s="98">
        <v>5.3</v>
      </c>
      <c r="I104" s="98">
        <v>5</v>
      </c>
      <c r="J104" s="98">
        <v>4.5</v>
      </c>
      <c r="K104" s="98" t="str">
        <f t="shared" si="13"/>
        <v/>
      </c>
      <c r="L104" s="98" t="str">
        <f t="shared" si="14"/>
        <v/>
      </c>
      <c r="M104" s="97">
        <f t="shared" ref="M104:M135" si="15">IF(COUNT(F104:L104)&gt;4,MAX(F104:L104),"")</f>
        <v>5.3</v>
      </c>
      <c r="N104" s="97">
        <f t="shared" ref="N104:N135" si="16">IF(COUNT(F104:L104)&gt;4,MIN(F104:L104),"")</f>
        <v>4.5</v>
      </c>
      <c r="O104" s="105">
        <f t="shared" ref="O104:O135" si="17">IF(COUNT(F104:L104)&gt;0,(SUM(F104:L104)-( SUM(M104:N104)  ))/(IF(COUNT(F104:L104)&gt;4,COUNT(F104:L104)-2,COUNT(F104:L104))),"")</f>
        <v>5.0666666666666664</v>
      </c>
      <c r="P104" s="138">
        <f>IF(COUNT(F104:L104)&gt;0,O104*Obligatoria1GD,"")</f>
        <v>8.1066666666666674</v>
      </c>
      <c r="Q104" s="144"/>
      <c r="R104" s="141">
        <f>IF(COUNT(F104:L107)&gt;0,SUM(P104:P107),"")</f>
        <v>36.096666666666671</v>
      </c>
      <c r="S104" s="106">
        <f>IF(COUNT(F104:L107)&gt;0,((R104/TotalGD)*10)-SUM(Q104:Q107),0)</f>
        <v>50.134259259259267</v>
      </c>
    </row>
    <row r="105" spans="1:19" hidden="1" x14ac:dyDescent="0.3">
      <c r="A105" s="13" t="str">
        <f>D104</f>
        <v>SELECCIÃ“N ANTIOQUIA</v>
      </c>
      <c r="B105" s="87"/>
      <c r="C105" s="86"/>
      <c r="D105" s="87"/>
      <c r="E105" s="89">
        <f>Obligatoria2Cod</f>
        <v>301</v>
      </c>
      <c r="F105" s="101">
        <v>4.5999999999999996</v>
      </c>
      <c r="G105" s="25">
        <v>4.3</v>
      </c>
      <c r="H105" s="25">
        <v>5.4</v>
      </c>
      <c r="I105" s="25">
        <v>4.9000000000000004</v>
      </c>
      <c r="J105" s="25">
        <v>5.3</v>
      </c>
      <c r="K105" s="25" t="str">
        <f t="shared" si="13"/>
        <v/>
      </c>
      <c r="L105" s="25" t="str">
        <f t="shared" si="14"/>
        <v/>
      </c>
      <c r="M105" s="25">
        <f t="shared" si="15"/>
        <v>5.4</v>
      </c>
      <c r="N105" s="25">
        <f t="shared" si="16"/>
        <v>4.3</v>
      </c>
      <c r="O105" s="88">
        <f t="shared" si="17"/>
        <v>4.9333333333333336</v>
      </c>
      <c r="P105" s="139">
        <f>IF(COUNT(F105:L105)&gt;0,O105*Obligatoria2GD,"")</f>
        <v>9.3733333333333331</v>
      </c>
      <c r="Q105" s="145"/>
      <c r="R105" s="142"/>
      <c r="S105" s="107"/>
    </row>
    <row r="106" spans="1:19" hidden="1" x14ac:dyDescent="0.3">
      <c r="A106" s="13" t="str">
        <f>D104</f>
        <v>SELECCIÃ“N ANTIOQUIA</v>
      </c>
      <c r="B106" s="87"/>
      <c r="C106" s="86"/>
      <c r="D106" s="87"/>
      <c r="E106" s="89">
        <f>Opcional1Cod</f>
        <v>420</v>
      </c>
      <c r="F106" s="113">
        <v>4.5999999999999996</v>
      </c>
      <c r="G106" s="26">
        <v>5</v>
      </c>
      <c r="H106" s="26">
        <v>4.9000000000000004</v>
      </c>
      <c r="I106" s="26">
        <v>5.3</v>
      </c>
      <c r="J106" s="26">
        <v>5</v>
      </c>
      <c r="K106" s="26" t="str">
        <f t="shared" si="13"/>
        <v/>
      </c>
      <c r="L106" s="26" t="str">
        <f t="shared" si="14"/>
        <v/>
      </c>
      <c r="M106" s="25">
        <f t="shared" si="15"/>
        <v>5.3</v>
      </c>
      <c r="N106" s="25">
        <f t="shared" si="16"/>
        <v>4.5999999999999996</v>
      </c>
      <c r="O106" s="88">
        <f t="shared" si="17"/>
        <v>4.9666666666666677</v>
      </c>
      <c r="P106" s="139">
        <f>IF(COUNT(F106:L106)&gt;0,O106*Opcional1GD,"")</f>
        <v>9.4366666666666674</v>
      </c>
      <c r="Q106" s="145"/>
      <c r="R106" s="142"/>
      <c r="S106" s="107"/>
    </row>
    <row r="107" spans="1:19" hidden="1" x14ac:dyDescent="0.3">
      <c r="A107" s="13" t="str">
        <f>D104</f>
        <v>SELECCIÃ“N ANTIOQUIA</v>
      </c>
      <c r="B107" s="108"/>
      <c r="C107" s="109"/>
      <c r="D107" s="108"/>
      <c r="E107" s="89">
        <f>Opcional2Cod</f>
        <v>327</v>
      </c>
      <c r="F107" s="102">
        <v>4.5999999999999996</v>
      </c>
      <c r="G107" s="99">
        <v>5.2</v>
      </c>
      <c r="H107" s="99">
        <v>5.0999999999999996</v>
      </c>
      <c r="I107" s="99">
        <v>5.3</v>
      </c>
      <c r="J107" s="99">
        <v>5</v>
      </c>
      <c r="K107" s="99" t="str">
        <f t="shared" si="13"/>
        <v/>
      </c>
      <c r="L107" s="99" t="str">
        <f t="shared" si="14"/>
        <v/>
      </c>
      <c r="M107" s="99">
        <f t="shared" si="15"/>
        <v>5.3</v>
      </c>
      <c r="N107" s="99">
        <f t="shared" si="16"/>
        <v>4.5999999999999996</v>
      </c>
      <c r="O107" s="110">
        <f t="shared" si="17"/>
        <v>5.1000000000000005</v>
      </c>
      <c r="P107" s="140">
        <f>IF(COUNT(F107:L107)&gt;0,O107*Opcional2GD,"")</f>
        <v>9.1800000000000015</v>
      </c>
      <c r="Q107" s="146"/>
      <c r="R107" s="143"/>
      <c r="S107" s="111"/>
    </row>
    <row r="108" spans="1:19" hidden="1" x14ac:dyDescent="0.3">
      <c r="A108" s="13" t="str">
        <f>tblPlanilla[[#This Row],[Club]]</f>
        <v>ESTRELLAS DE ANTIOQUIA</v>
      </c>
      <c r="B108" s="96">
        <v>26</v>
      </c>
      <c r="C108" s="104" t="s">
        <v>157</v>
      </c>
      <c r="D108" s="103" t="s">
        <v>121</v>
      </c>
      <c r="E108" s="89">
        <f>Obligatoria1Cod</f>
        <v>106</v>
      </c>
      <c r="F108" s="112">
        <v>4.5999999999999996</v>
      </c>
      <c r="G108" s="98">
        <v>4.9000000000000004</v>
      </c>
      <c r="H108" s="98">
        <v>4.8</v>
      </c>
      <c r="I108" s="98">
        <v>5.0999999999999996</v>
      </c>
      <c r="J108" s="98">
        <v>4.5</v>
      </c>
      <c r="K108" s="98" t="str">
        <f t="shared" si="13"/>
        <v/>
      </c>
      <c r="L108" s="98" t="str">
        <f t="shared" si="14"/>
        <v/>
      </c>
      <c r="M108" s="97">
        <f t="shared" si="15"/>
        <v>5.0999999999999996</v>
      </c>
      <c r="N108" s="97">
        <f t="shared" si="16"/>
        <v>4.5</v>
      </c>
      <c r="O108" s="105">
        <f t="shared" si="17"/>
        <v>4.7666666666666666</v>
      </c>
      <c r="P108" s="138">
        <f>IF(COUNT(F108:L108)&gt;0,O108*Obligatoria1GD,"")</f>
        <v>7.6266666666666669</v>
      </c>
      <c r="Q108" s="144"/>
      <c r="R108" s="141">
        <f>IF(COUNT(F108:L111)&gt;0,SUM(P108:P111),"")</f>
        <v>34.573333333333331</v>
      </c>
      <c r="S108" s="106">
        <f>IF(COUNT(F108:L111)&gt;0,((R108/TotalGD)*10)-SUM(Q108:Q111),0)</f>
        <v>48.018518518518512</v>
      </c>
    </row>
    <row r="109" spans="1:19" hidden="1" x14ac:dyDescent="0.3">
      <c r="A109" s="13" t="str">
        <f>D108</f>
        <v>ESTRELLAS DE ANTIOQUIA</v>
      </c>
      <c r="B109" s="87"/>
      <c r="C109" s="86"/>
      <c r="D109" s="87"/>
      <c r="E109" s="89">
        <f>Obligatoria2Cod</f>
        <v>301</v>
      </c>
      <c r="F109" s="101">
        <v>4.8</v>
      </c>
      <c r="G109" s="25">
        <v>4.5</v>
      </c>
      <c r="H109" s="25">
        <v>5.6</v>
      </c>
      <c r="I109" s="25">
        <v>4.8</v>
      </c>
      <c r="J109" s="25">
        <v>5</v>
      </c>
      <c r="K109" s="25" t="str">
        <f t="shared" si="13"/>
        <v/>
      </c>
      <c r="L109" s="25" t="str">
        <f t="shared" si="14"/>
        <v/>
      </c>
      <c r="M109" s="25">
        <f t="shared" si="15"/>
        <v>5.6</v>
      </c>
      <c r="N109" s="25">
        <f t="shared" si="16"/>
        <v>4.5</v>
      </c>
      <c r="O109" s="88">
        <f t="shared" si="17"/>
        <v>4.8666666666666663</v>
      </c>
      <c r="P109" s="139">
        <f>IF(COUNT(F109:L109)&gt;0,O109*Obligatoria2GD,"")</f>
        <v>9.2466666666666661</v>
      </c>
      <c r="Q109" s="145"/>
      <c r="R109" s="142"/>
      <c r="S109" s="107"/>
    </row>
    <row r="110" spans="1:19" hidden="1" x14ac:dyDescent="0.3">
      <c r="A110" s="13" t="str">
        <f>D108</f>
        <v>ESTRELLAS DE ANTIOQUIA</v>
      </c>
      <c r="B110" s="87"/>
      <c r="C110" s="86"/>
      <c r="D110" s="87"/>
      <c r="E110" s="89">
        <f>Opcional1Cod</f>
        <v>420</v>
      </c>
      <c r="F110" s="113">
        <v>5.0999999999999996</v>
      </c>
      <c r="G110" s="26">
        <v>4</v>
      </c>
      <c r="H110" s="26">
        <v>5</v>
      </c>
      <c r="I110" s="26">
        <v>4.7</v>
      </c>
      <c r="J110" s="26">
        <v>4.7</v>
      </c>
      <c r="K110" s="26" t="str">
        <f t="shared" si="13"/>
        <v/>
      </c>
      <c r="L110" s="26" t="str">
        <f t="shared" si="14"/>
        <v/>
      </c>
      <c r="M110" s="25">
        <f t="shared" si="15"/>
        <v>5.0999999999999996</v>
      </c>
      <c r="N110" s="25">
        <f t="shared" si="16"/>
        <v>4</v>
      </c>
      <c r="O110" s="88">
        <f t="shared" si="17"/>
        <v>4.8</v>
      </c>
      <c r="P110" s="139">
        <f>IF(COUNT(F110:L110)&gt;0,O110*Opcional1GD,"")</f>
        <v>9.1199999999999992</v>
      </c>
      <c r="Q110" s="145"/>
      <c r="R110" s="142"/>
      <c r="S110" s="107"/>
    </row>
    <row r="111" spans="1:19" hidden="1" x14ac:dyDescent="0.3">
      <c r="A111" s="13" t="str">
        <f>D108</f>
        <v>ESTRELLAS DE ANTIOQUIA</v>
      </c>
      <c r="B111" s="108"/>
      <c r="C111" s="109"/>
      <c r="D111" s="108"/>
      <c r="E111" s="89">
        <f>Opcional2Cod</f>
        <v>327</v>
      </c>
      <c r="F111" s="102">
        <v>4.4000000000000004</v>
      </c>
      <c r="G111" s="99">
        <v>4.5999999999999996</v>
      </c>
      <c r="H111" s="99">
        <v>4.9000000000000004</v>
      </c>
      <c r="I111" s="99">
        <v>4.8</v>
      </c>
      <c r="J111" s="99">
        <v>5.2</v>
      </c>
      <c r="K111" s="99" t="str">
        <f t="shared" si="13"/>
        <v/>
      </c>
      <c r="L111" s="99" t="str">
        <f t="shared" si="14"/>
        <v/>
      </c>
      <c r="M111" s="99">
        <f t="shared" si="15"/>
        <v>5.2</v>
      </c>
      <c r="N111" s="99">
        <f t="shared" si="16"/>
        <v>4.4000000000000004</v>
      </c>
      <c r="O111" s="110">
        <f t="shared" si="17"/>
        <v>4.7666666666666657</v>
      </c>
      <c r="P111" s="140">
        <f>IF(COUNT(F111:L111)&gt;0,O111*Opcional2GD,"")</f>
        <v>8.5799999999999983</v>
      </c>
      <c r="Q111" s="146"/>
      <c r="R111" s="143"/>
      <c r="S111" s="111"/>
    </row>
    <row r="112" spans="1:19" hidden="1" x14ac:dyDescent="0.3">
      <c r="A112" s="13" t="str">
        <f>tblPlanilla[[#This Row],[Club]]</f>
        <v>ESTRELLAS DE ANTIOQUIA</v>
      </c>
      <c r="B112" s="96">
        <v>27</v>
      </c>
      <c r="C112" s="104" t="s">
        <v>126</v>
      </c>
      <c r="D112" s="103" t="s">
        <v>121</v>
      </c>
      <c r="E112" s="89">
        <f>Obligatoria1Cod</f>
        <v>106</v>
      </c>
      <c r="F112" s="112">
        <v>4.8</v>
      </c>
      <c r="G112" s="98">
        <v>4</v>
      </c>
      <c r="H112" s="98">
        <v>4.5999999999999996</v>
      </c>
      <c r="I112" s="98">
        <v>4.5999999999999996</v>
      </c>
      <c r="J112" s="98">
        <v>4.9000000000000004</v>
      </c>
      <c r="K112" s="98" t="str">
        <f t="shared" si="13"/>
        <v/>
      </c>
      <c r="L112" s="98" t="str">
        <f t="shared" si="14"/>
        <v/>
      </c>
      <c r="M112" s="97">
        <f t="shared" si="15"/>
        <v>4.9000000000000004</v>
      </c>
      <c r="N112" s="97">
        <f t="shared" si="16"/>
        <v>4</v>
      </c>
      <c r="O112" s="105">
        <f t="shared" si="17"/>
        <v>4.6666666666666661</v>
      </c>
      <c r="P112" s="138">
        <f>IF(COUNT(F112:L112)&gt;0,O112*Obligatoria1GD,"")</f>
        <v>7.4666666666666659</v>
      </c>
      <c r="Q112" s="144"/>
      <c r="R112" s="141">
        <f>IF(COUNT(F112:L115)&gt;0,SUM(P112:P115),"")</f>
        <v>33.526666666666664</v>
      </c>
      <c r="S112" s="106">
        <f>IF(COUNT(F112:L115)&gt;0,((R112/TotalGD)*10)-SUM(Q112:Q115),0)</f>
        <v>46.56481481481481</v>
      </c>
    </row>
    <row r="113" spans="1:19" hidden="1" x14ac:dyDescent="0.3">
      <c r="A113" s="13" t="str">
        <f>D112</f>
        <v>ESTRELLAS DE ANTIOQUIA</v>
      </c>
      <c r="B113" s="87"/>
      <c r="C113" s="86"/>
      <c r="D113" s="87"/>
      <c r="E113" s="89">
        <f>Obligatoria2Cod</f>
        <v>301</v>
      </c>
      <c r="F113" s="101">
        <v>4.5</v>
      </c>
      <c r="G113" s="25">
        <v>4.2</v>
      </c>
      <c r="H113" s="25">
        <v>5</v>
      </c>
      <c r="I113" s="25">
        <v>5.2</v>
      </c>
      <c r="J113" s="25">
        <v>5</v>
      </c>
      <c r="K113" s="25" t="str">
        <f t="shared" si="13"/>
        <v/>
      </c>
      <c r="L113" s="25" t="str">
        <f t="shared" si="14"/>
        <v/>
      </c>
      <c r="M113" s="25">
        <f t="shared" si="15"/>
        <v>5.2</v>
      </c>
      <c r="N113" s="25">
        <f t="shared" si="16"/>
        <v>4.2</v>
      </c>
      <c r="O113" s="88">
        <f t="shared" si="17"/>
        <v>4.833333333333333</v>
      </c>
      <c r="P113" s="139">
        <f>IF(COUNT(F113:L113)&gt;0,O113*Obligatoria2GD,"")</f>
        <v>9.1833333333333318</v>
      </c>
      <c r="Q113" s="145"/>
      <c r="R113" s="142"/>
      <c r="S113" s="107"/>
    </row>
    <row r="114" spans="1:19" hidden="1" x14ac:dyDescent="0.3">
      <c r="A114" s="13" t="str">
        <f>D112</f>
        <v>ESTRELLAS DE ANTIOQUIA</v>
      </c>
      <c r="B114" s="87"/>
      <c r="C114" s="86"/>
      <c r="D114" s="87"/>
      <c r="E114" s="89">
        <f>Opcional1Cod</f>
        <v>420</v>
      </c>
      <c r="F114" s="113">
        <v>4.3</v>
      </c>
      <c r="G114" s="26">
        <v>3.8</v>
      </c>
      <c r="H114" s="26">
        <v>4.5</v>
      </c>
      <c r="I114" s="26">
        <v>4.5999999999999996</v>
      </c>
      <c r="J114" s="195">
        <f>AVERAGE(tblPlanilla[[#This Row],[1]:[4]])</f>
        <v>4.3</v>
      </c>
      <c r="K114" s="26" t="str">
        <f t="shared" si="13"/>
        <v/>
      </c>
      <c r="L114" s="26" t="str">
        <f t="shared" si="14"/>
        <v/>
      </c>
      <c r="M114" s="25">
        <f t="shared" si="15"/>
        <v>4.5999999999999996</v>
      </c>
      <c r="N114" s="25">
        <f t="shared" si="16"/>
        <v>3.8</v>
      </c>
      <c r="O114" s="88">
        <f t="shared" si="17"/>
        <v>4.3666666666666671</v>
      </c>
      <c r="P114" s="139">
        <f>IF(COUNT(F114:L114)&gt;0,O114*Opcional1GD,"")</f>
        <v>8.2966666666666669</v>
      </c>
      <c r="Q114" s="145"/>
      <c r="R114" s="142"/>
      <c r="S114" s="107"/>
    </row>
    <row r="115" spans="1:19" hidden="1" x14ac:dyDescent="0.3">
      <c r="A115" s="13" t="str">
        <f>D112</f>
        <v>ESTRELLAS DE ANTIOQUIA</v>
      </c>
      <c r="B115" s="108"/>
      <c r="C115" s="109"/>
      <c r="D115" s="108"/>
      <c r="E115" s="89">
        <f>Opcional2Cod</f>
        <v>327</v>
      </c>
      <c r="F115" s="102">
        <v>4.7</v>
      </c>
      <c r="G115" s="99">
        <v>4.5</v>
      </c>
      <c r="H115" s="99">
        <v>4.5999999999999996</v>
      </c>
      <c r="I115" s="99">
        <v>5</v>
      </c>
      <c r="J115" s="99">
        <v>5</v>
      </c>
      <c r="K115" s="99" t="str">
        <f t="shared" si="13"/>
        <v/>
      </c>
      <c r="L115" s="99" t="str">
        <f t="shared" si="14"/>
        <v/>
      </c>
      <c r="M115" s="99">
        <f t="shared" si="15"/>
        <v>5</v>
      </c>
      <c r="N115" s="99">
        <f t="shared" si="16"/>
        <v>4.5</v>
      </c>
      <c r="O115" s="110">
        <f t="shared" si="17"/>
        <v>4.7666666666666657</v>
      </c>
      <c r="P115" s="140">
        <f>IF(COUNT(F115:L115)&gt;0,O115*Opcional2GD,"")</f>
        <v>8.5799999999999983</v>
      </c>
      <c r="Q115" s="146"/>
      <c r="R115" s="143"/>
      <c r="S115" s="111"/>
    </row>
    <row r="116" spans="1:19" hidden="1" x14ac:dyDescent="0.3">
      <c r="A116" s="13" t="str">
        <f>tblPlanilla[[#This Row],[Club]]</f>
        <v>SELECCIÃ“N ANTIOQUIA</v>
      </c>
      <c r="B116" s="96">
        <v>28</v>
      </c>
      <c r="C116" s="104" t="s">
        <v>158</v>
      </c>
      <c r="D116" s="103" t="s">
        <v>123</v>
      </c>
      <c r="E116" s="89">
        <f>Obligatoria1Cod</f>
        <v>106</v>
      </c>
      <c r="F116" s="112">
        <v>5.3</v>
      </c>
      <c r="G116" s="98">
        <v>5.3</v>
      </c>
      <c r="H116" s="98">
        <v>5.2</v>
      </c>
      <c r="I116" s="98">
        <v>4.7</v>
      </c>
      <c r="J116" s="98">
        <v>5.5</v>
      </c>
      <c r="K116" s="98" t="str">
        <f t="shared" si="13"/>
        <v/>
      </c>
      <c r="L116" s="98" t="str">
        <f t="shared" si="14"/>
        <v/>
      </c>
      <c r="M116" s="97">
        <f t="shared" si="15"/>
        <v>5.5</v>
      </c>
      <c r="N116" s="97">
        <f t="shared" si="16"/>
        <v>4.7</v>
      </c>
      <c r="O116" s="105">
        <f t="shared" si="17"/>
        <v>5.2666666666666666</v>
      </c>
      <c r="P116" s="138">
        <f>IF(COUNT(F116:L116)&gt;0,O116*Obligatoria1GD,"")</f>
        <v>8.4266666666666676</v>
      </c>
      <c r="Q116" s="144"/>
      <c r="R116" s="141">
        <f>IF(COUNT(F116:L119)&gt;0,SUM(P116:P119),"")</f>
        <v>37.226666666666667</v>
      </c>
      <c r="S116" s="106">
        <f>IF(COUNT(F116:L119)&gt;0,((R116/TotalGD)*10)-SUM(Q116:Q119),0)</f>
        <v>51.703703703703702</v>
      </c>
    </row>
    <row r="117" spans="1:19" hidden="1" x14ac:dyDescent="0.3">
      <c r="A117" s="13" t="str">
        <f>D116</f>
        <v>SELECCIÃ“N ANTIOQUIA</v>
      </c>
      <c r="B117" s="87"/>
      <c r="C117" s="86"/>
      <c r="D117" s="87"/>
      <c r="E117" s="89">
        <f>Obligatoria2Cod</f>
        <v>301</v>
      </c>
      <c r="F117" s="101">
        <v>5.2</v>
      </c>
      <c r="G117" s="25">
        <v>4</v>
      </c>
      <c r="H117" s="25">
        <v>5.2</v>
      </c>
      <c r="I117" s="25">
        <v>5.5</v>
      </c>
      <c r="J117" s="25">
        <v>5.3</v>
      </c>
      <c r="K117" s="25" t="str">
        <f t="shared" si="13"/>
        <v/>
      </c>
      <c r="L117" s="25" t="str">
        <f t="shared" si="14"/>
        <v/>
      </c>
      <c r="M117" s="25">
        <f t="shared" si="15"/>
        <v>5.5</v>
      </c>
      <c r="N117" s="25">
        <f t="shared" si="16"/>
        <v>4</v>
      </c>
      <c r="O117" s="88">
        <f t="shared" si="17"/>
        <v>5.2333333333333334</v>
      </c>
      <c r="P117" s="139">
        <f>IF(COUNT(F117:L117)&gt;0,O117*Obligatoria2GD,"")</f>
        <v>9.9433333333333334</v>
      </c>
      <c r="Q117" s="145"/>
      <c r="R117" s="142"/>
      <c r="S117" s="107"/>
    </row>
    <row r="118" spans="1:19" hidden="1" x14ac:dyDescent="0.3">
      <c r="A118" s="13" t="str">
        <f>D116</f>
        <v>SELECCIÃ“N ANTIOQUIA</v>
      </c>
      <c r="B118" s="87"/>
      <c r="C118" s="86"/>
      <c r="D118" s="87"/>
      <c r="E118" s="89">
        <f>Opcional1Cod</f>
        <v>420</v>
      </c>
      <c r="F118" s="113">
        <v>4.8</v>
      </c>
      <c r="G118" s="26">
        <v>5.2</v>
      </c>
      <c r="H118" s="26">
        <v>4.7</v>
      </c>
      <c r="I118" s="26">
        <v>5.3</v>
      </c>
      <c r="J118" s="26">
        <v>4.9000000000000004</v>
      </c>
      <c r="K118" s="26" t="str">
        <f t="shared" si="13"/>
        <v/>
      </c>
      <c r="L118" s="26" t="str">
        <f t="shared" si="14"/>
        <v/>
      </c>
      <c r="M118" s="25">
        <f t="shared" si="15"/>
        <v>5.3</v>
      </c>
      <c r="N118" s="25">
        <f t="shared" si="16"/>
        <v>4.7</v>
      </c>
      <c r="O118" s="88">
        <f t="shared" si="17"/>
        <v>4.9666666666666659</v>
      </c>
      <c r="P118" s="139">
        <f>IF(COUNT(F118:L118)&gt;0,O118*Opcional1GD,"")</f>
        <v>9.4366666666666656</v>
      </c>
      <c r="Q118" s="145"/>
      <c r="R118" s="142"/>
      <c r="S118" s="107"/>
    </row>
    <row r="119" spans="1:19" hidden="1" x14ac:dyDescent="0.3">
      <c r="A119" s="13" t="str">
        <f>D116</f>
        <v>SELECCIÃ“N ANTIOQUIA</v>
      </c>
      <c r="B119" s="108"/>
      <c r="C119" s="109"/>
      <c r="D119" s="108"/>
      <c r="E119" s="89">
        <f>Opcional2Cod</f>
        <v>327</v>
      </c>
      <c r="F119" s="102">
        <v>4.8</v>
      </c>
      <c r="G119" s="99">
        <v>4.8</v>
      </c>
      <c r="H119" s="99">
        <v>5.5</v>
      </c>
      <c r="I119" s="99">
        <v>5.4</v>
      </c>
      <c r="J119" s="99">
        <v>5.5</v>
      </c>
      <c r="K119" s="99" t="str">
        <f t="shared" si="13"/>
        <v/>
      </c>
      <c r="L119" s="99" t="str">
        <f t="shared" si="14"/>
        <v/>
      </c>
      <c r="M119" s="99">
        <f t="shared" si="15"/>
        <v>5.5</v>
      </c>
      <c r="N119" s="99">
        <f t="shared" si="16"/>
        <v>4.8</v>
      </c>
      <c r="O119" s="110">
        <f t="shared" si="17"/>
        <v>5.2333333333333334</v>
      </c>
      <c r="P119" s="140">
        <f>IF(COUNT(F119:L119)&gt;0,O119*Opcional2GD,"")</f>
        <v>9.42</v>
      </c>
      <c r="Q119" s="146"/>
      <c r="R119" s="143"/>
      <c r="S119" s="111"/>
    </row>
    <row r="120" spans="1:19" hidden="1" x14ac:dyDescent="0.3">
      <c r="A120" s="13" t="str">
        <f>tblPlanilla[[#This Row],[Club]]</f>
        <v>SINCROANTIOQUIA NADO</v>
      </c>
      <c r="B120" s="96">
        <v>29</v>
      </c>
      <c r="C120" s="104" t="s">
        <v>159</v>
      </c>
      <c r="D120" s="103" t="s">
        <v>122</v>
      </c>
      <c r="E120" s="89">
        <f>Obligatoria1Cod</f>
        <v>106</v>
      </c>
      <c r="F120" s="112">
        <v>4.4000000000000004</v>
      </c>
      <c r="G120" s="98">
        <v>4.2</v>
      </c>
      <c r="H120" s="98">
        <v>4.0999999999999996</v>
      </c>
      <c r="I120" s="98">
        <v>4</v>
      </c>
      <c r="J120" s="98">
        <v>4.7</v>
      </c>
      <c r="K120" s="98" t="str">
        <f t="shared" ref="K120:K151" si="18">IF(JuecesPanel&gt;=6,"",IF((JuecesPanel+JuecesCalc)&lt;6,"",IF(COUNT(F120:J120)&gt;0,AVERAGE(F120:J120),"")))</f>
        <v/>
      </c>
      <c r="L120" s="98" t="str">
        <f t="shared" ref="L120:L151" si="19">IF(JuecesPanel&gt;=7,"",IF((JuecesPanel+JuecesCalc)&lt;7,"",IF(COUNT(F120:K120)&gt;0,AVERAGE(F120:K120),"")))</f>
        <v/>
      </c>
      <c r="M120" s="97">
        <f t="shared" si="15"/>
        <v>4.7</v>
      </c>
      <c r="N120" s="97">
        <f t="shared" si="16"/>
        <v>4</v>
      </c>
      <c r="O120" s="105">
        <f t="shared" si="17"/>
        <v>4.2333333333333343</v>
      </c>
      <c r="P120" s="138">
        <f>IF(COUNT(F120:L120)&gt;0,O120*Obligatoria1GD,"")</f>
        <v>6.7733333333333352</v>
      </c>
      <c r="Q120" s="144"/>
      <c r="R120" s="141">
        <f>IF(COUNT(F120:L123)&gt;0,SUM(P120:P123),"")</f>
        <v>31.466666666666669</v>
      </c>
      <c r="S120" s="106">
        <f>IF(COUNT(F120:L123)&gt;0,((R120/TotalGD)*10)-SUM(Q120:Q123),0)</f>
        <v>43.703703703703702</v>
      </c>
    </row>
    <row r="121" spans="1:19" hidden="1" x14ac:dyDescent="0.3">
      <c r="A121" s="13" t="str">
        <f>D120</f>
        <v>SINCROANTIOQUIA NADO</v>
      </c>
      <c r="B121" s="87"/>
      <c r="C121" s="86"/>
      <c r="D121" s="87"/>
      <c r="E121" s="89">
        <f>Obligatoria2Cod</f>
        <v>301</v>
      </c>
      <c r="F121" s="101">
        <v>4.0999999999999996</v>
      </c>
      <c r="G121" s="25">
        <v>3.7</v>
      </c>
      <c r="H121" s="25">
        <v>4.2</v>
      </c>
      <c r="I121" s="25">
        <v>4.3</v>
      </c>
      <c r="J121" s="25">
        <v>4.8</v>
      </c>
      <c r="K121" s="25" t="str">
        <f t="shared" si="18"/>
        <v/>
      </c>
      <c r="L121" s="25" t="str">
        <f t="shared" si="19"/>
        <v/>
      </c>
      <c r="M121" s="25">
        <f t="shared" si="15"/>
        <v>4.8</v>
      </c>
      <c r="N121" s="25">
        <f t="shared" si="16"/>
        <v>3.7</v>
      </c>
      <c r="O121" s="88">
        <f t="shared" si="17"/>
        <v>4.2</v>
      </c>
      <c r="P121" s="139">
        <f>IF(COUNT(F121:L121)&gt;0,O121*Obligatoria2GD,"")</f>
        <v>7.9799999999999995</v>
      </c>
      <c r="Q121" s="145"/>
      <c r="R121" s="142"/>
      <c r="S121" s="107"/>
    </row>
    <row r="122" spans="1:19" hidden="1" x14ac:dyDescent="0.3">
      <c r="A122" s="13" t="str">
        <f>D120</f>
        <v>SINCROANTIOQUIA NADO</v>
      </c>
      <c r="B122" s="87"/>
      <c r="C122" s="86"/>
      <c r="D122" s="87"/>
      <c r="E122" s="89">
        <f>Opcional1Cod</f>
        <v>420</v>
      </c>
      <c r="F122" s="113">
        <v>4.5</v>
      </c>
      <c r="G122" s="26">
        <v>4.5999999999999996</v>
      </c>
      <c r="H122" s="26">
        <v>4.0999999999999996</v>
      </c>
      <c r="I122" s="26">
        <v>4.5</v>
      </c>
      <c r="J122" s="26">
        <v>5.4</v>
      </c>
      <c r="K122" s="26" t="str">
        <f t="shared" si="18"/>
        <v/>
      </c>
      <c r="L122" s="26" t="str">
        <f t="shared" si="19"/>
        <v/>
      </c>
      <c r="M122" s="25">
        <f t="shared" si="15"/>
        <v>5.4</v>
      </c>
      <c r="N122" s="25">
        <f t="shared" si="16"/>
        <v>4.0999999999999996</v>
      </c>
      <c r="O122" s="88">
        <f t="shared" si="17"/>
        <v>4.5333333333333341</v>
      </c>
      <c r="P122" s="139">
        <f>IF(COUNT(F122:L122)&gt;0,O122*Opcional1GD,"")</f>
        <v>8.6133333333333351</v>
      </c>
      <c r="Q122" s="145"/>
      <c r="R122" s="142"/>
      <c r="S122" s="107"/>
    </row>
    <row r="123" spans="1:19" hidden="1" x14ac:dyDescent="0.3">
      <c r="A123" s="13" t="str">
        <f>D120</f>
        <v>SINCROANTIOQUIA NADO</v>
      </c>
      <c r="B123" s="108"/>
      <c r="C123" s="109"/>
      <c r="D123" s="108"/>
      <c r="E123" s="89">
        <f>Opcional2Cod</f>
        <v>327</v>
      </c>
      <c r="F123" s="102">
        <v>4.7</v>
      </c>
      <c r="G123" s="99">
        <v>4.5999999999999996</v>
      </c>
      <c r="H123" s="99">
        <v>4.3</v>
      </c>
      <c r="I123" s="99">
        <v>4.5999999999999996</v>
      </c>
      <c r="J123" s="99">
        <v>4</v>
      </c>
      <c r="K123" s="99" t="str">
        <f t="shared" si="18"/>
        <v/>
      </c>
      <c r="L123" s="99" t="str">
        <f t="shared" si="19"/>
        <v/>
      </c>
      <c r="M123" s="99">
        <f t="shared" si="15"/>
        <v>4.7</v>
      </c>
      <c r="N123" s="99">
        <f t="shared" si="16"/>
        <v>4</v>
      </c>
      <c r="O123" s="110">
        <f t="shared" si="17"/>
        <v>4.5000000000000009</v>
      </c>
      <c r="P123" s="140">
        <f>IF(COUNT(F123:L123)&gt;0,O123*Opcional2GD,"")</f>
        <v>8.1000000000000014</v>
      </c>
      <c r="Q123" s="146"/>
      <c r="R123" s="143"/>
      <c r="S123" s="111"/>
    </row>
    <row r="124" spans="1:19" hidden="1" x14ac:dyDescent="0.3">
      <c r="A124" s="13" t="str">
        <f>tblPlanilla[[#This Row],[Club]]</f>
        <v>SELECCIÃ“N ANTIOQUIA</v>
      </c>
      <c r="B124" s="96">
        <v>30</v>
      </c>
      <c r="C124" s="104" t="s">
        <v>160</v>
      </c>
      <c r="D124" s="103" t="s">
        <v>123</v>
      </c>
      <c r="E124" s="89">
        <f>Obligatoria1Cod</f>
        <v>106</v>
      </c>
      <c r="F124" s="112">
        <v>5.2</v>
      </c>
      <c r="G124" s="98">
        <v>5.3</v>
      </c>
      <c r="H124" s="98">
        <v>5.0999999999999996</v>
      </c>
      <c r="I124" s="98">
        <v>5.8</v>
      </c>
      <c r="J124" s="98">
        <v>5.3</v>
      </c>
      <c r="K124" s="98" t="str">
        <f t="shared" si="18"/>
        <v/>
      </c>
      <c r="L124" s="98" t="str">
        <f t="shared" si="19"/>
        <v/>
      </c>
      <c r="M124" s="97">
        <f t="shared" si="15"/>
        <v>5.8</v>
      </c>
      <c r="N124" s="97">
        <f t="shared" si="16"/>
        <v>5.0999999999999996</v>
      </c>
      <c r="O124" s="105">
        <f t="shared" si="17"/>
        <v>5.2666666666666666</v>
      </c>
      <c r="P124" s="138">
        <f>IF(COUNT(F124:L124)&gt;0,O124*Obligatoria1GD,"")</f>
        <v>8.4266666666666676</v>
      </c>
      <c r="Q124" s="144"/>
      <c r="R124" s="141">
        <f>IF(COUNT(F124:L127)&gt;0,SUM(P124:P127),"")</f>
        <v>38.416666666666671</v>
      </c>
      <c r="S124" s="106">
        <f>IF(COUNT(F124:L127)&gt;0,((R124/TotalGD)*10)-SUM(Q124:Q127),0)</f>
        <v>53.356481481481488</v>
      </c>
    </row>
    <row r="125" spans="1:19" hidden="1" x14ac:dyDescent="0.3">
      <c r="A125" s="13" t="str">
        <f>D124</f>
        <v>SELECCIÃ“N ANTIOQUIA</v>
      </c>
      <c r="B125" s="87"/>
      <c r="C125" s="86"/>
      <c r="D125" s="87"/>
      <c r="E125" s="89">
        <f>Obligatoria2Cod</f>
        <v>301</v>
      </c>
      <c r="F125" s="101">
        <v>4.9000000000000004</v>
      </c>
      <c r="G125" s="25">
        <v>4</v>
      </c>
      <c r="H125" s="25">
        <v>5.4</v>
      </c>
      <c r="I125" s="25">
        <v>5.7</v>
      </c>
      <c r="J125" s="25">
        <v>5.0999999999999996</v>
      </c>
      <c r="K125" s="25" t="str">
        <f t="shared" si="18"/>
        <v/>
      </c>
      <c r="L125" s="25" t="str">
        <f t="shared" si="19"/>
        <v/>
      </c>
      <c r="M125" s="25">
        <f t="shared" si="15"/>
        <v>5.7</v>
      </c>
      <c r="N125" s="25">
        <f t="shared" si="16"/>
        <v>4</v>
      </c>
      <c r="O125" s="88">
        <f t="shared" si="17"/>
        <v>5.1333333333333337</v>
      </c>
      <c r="P125" s="139">
        <f>IF(COUNT(F125:L125)&gt;0,O125*Obligatoria2GD,"")</f>
        <v>9.7533333333333339</v>
      </c>
      <c r="Q125" s="145"/>
      <c r="R125" s="142"/>
      <c r="S125" s="107"/>
    </row>
    <row r="126" spans="1:19" hidden="1" x14ac:dyDescent="0.3">
      <c r="A126" s="13" t="str">
        <f>D124</f>
        <v>SELECCIÃ“N ANTIOQUIA</v>
      </c>
      <c r="B126" s="87"/>
      <c r="C126" s="86"/>
      <c r="D126" s="87"/>
      <c r="E126" s="89">
        <f>Opcional1Cod</f>
        <v>420</v>
      </c>
      <c r="F126" s="113">
        <v>5.8</v>
      </c>
      <c r="G126" s="26">
        <v>5.6</v>
      </c>
      <c r="H126" s="26">
        <v>5.3</v>
      </c>
      <c r="I126" s="26">
        <v>5.8</v>
      </c>
      <c r="J126" s="26">
        <v>4.8</v>
      </c>
      <c r="K126" s="26" t="str">
        <f t="shared" si="18"/>
        <v/>
      </c>
      <c r="L126" s="26" t="str">
        <f t="shared" si="19"/>
        <v/>
      </c>
      <c r="M126" s="25">
        <f t="shared" si="15"/>
        <v>5.8</v>
      </c>
      <c r="N126" s="25">
        <f t="shared" si="16"/>
        <v>4.8</v>
      </c>
      <c r="O126" s="88">
        <f t="shared" si="17"/>
        <v>5.5666666666666673</v>
      </c>
      <c r="P126" s="139">
        <f>IF(COUNT(F126:L126)&gt;0,O126*Opcional1GD,"")</f>
        <v>10.576666666666668</v>
      </c>
      <c r="Q126" s="145"/>
      <c r="R126" s="142"/>
      <c r="S126" s="107"/>
    </row>
    <row r="127" spans="1:19" hidden="1" x14ac:dyDescent="0.3">
      <c r="A127" s="13" t="str">
        <f>D124</f>
        <v>SELECCIÃ“N ANTIOQUIA</v>
      </c>
      <c r="B127" s="108"/>
      <c r="C127" s="109"/>
      <c r="D127" s="108"/>
      <c r="E127" s="89">
        <f>Opcional2Cod</f>
        <v>327</v>
      </c>
      <c r="F127" s="102">
        <v>4.9000000000000004</v>
      </c>
      <c r="G127" s="99">
        <v>5</v>
      </c>
      <c r="H127" s="99">
        <v>5.7</v>
      </c>
      <c r="I127" s="99">
        <v>5.6</v>
      </c>
      <c r="J127" s="99">
        <v>5.5</v>
      </c>
      <c r="K127" s="99" t="str">
        <f t="shared" si="18"/>
        <v/>
      </c>
      <c r="L127" s="99" t="str">
        <f t="shared" si="19"/>
        <v/>
      </c>
      <c r="M127" s="99">
        <f t="shared" si="15"/>
        <v>5.7</v>
      </c>
      <c r="N127" s="99">
        <f t="shared" si="16"/>
        <v>4.9000000000000004</v>
      </c>
      <c r="O127" s="110">
        <f t="shared" si="17"/>
        <v>5.3666666666666671</v>
      </c>
      <c r="P127" s="140">
        <f>IF(COUNT(F127:L127)&gt;0,O127*Opcional2GD,"")</f>
        <v>9.6600000000000019</v>
      </c>
      <c r="Q127" s="146"/>
      <c r="R127" s="143"/>
      <c r="S127" s="111"/>
    </row>
    <row r="128" spans="1:19" hidden="1" x14ac:dyDescent="0.3">
      <c r="A128" s="13" t="str">
        <f>tblPlanilla[[#This Row],[Club]]</f>
        <v>ESTRELLAS DE ANTIOQUIA</v>
      </c>
      <c r="B128" s="96">
        <v>31</v>
      </c>
      <c r="C128" s="104" t="s">
        <v>161</v>
      </c>
      <c r="D128" s="103" t="s">
        <v>121</v>
      </c>
      <c r="E128" s="89">
        <f>Obligatoria1Cod</f>
        <v>106</v>
      </c>
      <c r="F128" s="112">
        <v>5.0999999999999996</v>
      </c>
      <c r="G128" s="98">
        <v>4.7</v>
      </c>
      <c r="H128" s="98">
        <v>4.7</v>
      </c>
      <c r="I128" s="98">
        <v>5</v>
      </c>
      <c r="J128" s="98">
        <v>4.8</v>
      </c>
      <c r="K128" s="98" t="str">
        <f t="shared" si="18"/>
        <v/>
      </c>
      <c r="L128" s="98" t="str">
        <f t="shared" si="19"/>
        <v/>
      </c>
      <c r="M128" s="97">
        <f t="shared" si="15"/>
        <v>5.0999999999999996</v>
      </c>
      <c r="N128" s="97">
        <f t="shared" si="16"/>
        <v>4.7</v>
      </c>
      <c r="O128" s="105">
        <f t="shared" si="17"/>
        <v>4.833333333333333</v>
      </c>
      <c r="P128" s="138">
        <f>IF(COUNT(F128:L128)&gt;0,O128*Obligatoria1GD,"")</f>
        <v>7.7333333333333334</v>
      </c>
      <c r="Q128" s="144"/>
      <c r="R128" s="141">
        <f>IF(COUNT(F128:L131)&gt;0,SUM(P128:P131),"")</f>
        <v>34.603333333333332</v>
      </c>
      <c r="S128" s="106">
        <f>IF(COUNT(F128:L131)&gt;0,((R128/TotalGD)*10)-SUM(Q128:Q131),0)</f>
        <v>48.060185185185176</v>
      </c>
    </row>
    <row r="129" spans="1:19" hidden="1" x14ac:dyDescent="0.3">
      <c r="A129" s="13" t="str">
        <f>D128</f>
        <v>ESTRELLAS DE ANTIOQUIA</v>
      </c>
      <c r="B129" s="87"/>
      <c r="C129" s="86"/>
      <c r="D129" s="87"/>
      <c r="E129" s="89">
        <f>Obligatoria2Cod</f>
        <v>301</v>
      </c>
      <c r="F129" s="101">
        <v>4.5999999999999996</v>
      </c>
      <c r="G129" s="25">
        <v>4.2</v>
      </c>
      <c r="H129" s="25">
        <v>4.4000000000000004</v>
      </c>
      <c r="I129" s="25">
        <v>4.5</v>
      </c>
      <c r="J129" s="25">
        <v>4.9000000000000004</v>
      </c>
      <c r="K129" s="25" t="str">
        <f t="shared" si="18"/>
        <v/>
      </c>
      <c r="L129" s="25" t="str">
        <f t="shared" si="19"/>
        <v/>
      </c>
      <c r="M129" s="25">
        <f t="shared" si="15"/>
        <v>4.9000000000000004</v>
      </c>
      <c r="N129" s="25">
        <f t="shared" si="16"/>
        <v>4.2</v>
      </c>
      <c r="O129" s="88">
        <f t="shared" si="17"/>
        <v>4.5</v>
      </c>
      <c r="P129" s="139">
        <f>IF(COUNT(F129:L129)&gt;0,O129*Obligatoria2GD,"")</f>
        <v>8.5499999999999989</v>
      </c>
      <c r="Q129" s="145"/>
      <c r="R129" s="142"/>
      <c r="S129" s="107"/>
    </row>
    <row r="130" spans="1:19" hidden="1" x14ac:dyDescent="0.3">
      <c r="A130" s="13" t="str">
        <f>D128</f>
        <v>ESTRELLAS DE ANTIOQUIA</v>
      </c>
      <c r="B130" s="87"/>
      <c r="C130" s="86"/>
      <c r="D130" s="87"/>
      <c r="E130" s="89">
        <f>Opcional1Cod</f>
        <v>420</v>
      </c>
      <c r="F130" s="113">
        <v>5.0999999999999996</v>
      </c>
      <c r="G130" s="26">
        <v>4.3</v>
      </c>
      <c r="H130" s="26">
        <v>5</v>
      </c>
      <c r="I130" s="26">
        <v>4.9000000000000004</v>
      </c>
      <c r="J130" s="26">
        <v>5.0999999999999996</v>
      </c>
      <c r="K130" s="26" t="str">
        <f t="shared" si="18"/>
        <v/>
      </c>
      <c r="L130" s="26" t="str">
        <f t="shared" si="19"/>
        <v/>
      </c>
      <c r="M130" s="25">
        <f t="shared" si="15"/>
        <v>5.0999999999999996</v>
      </c>
      <c r="N130" s="25">
        <f t="shared" si="16"/>
        <v>4.3</v>
      </c>
      <c r="O130" s="88">
        <f t="shared" si="17"/>
        <v>5</v>
      </c>
      <c r="P130" s="139">
        <f>IF(COUNT(F130:L130)&gt;0,O130*Opcional1GD,"")</f>
        <v>9.5</v>
      </c>
      <c r="Q130" s="145"/>
      <c r="R130" s="142"/>
      <c r="S130" s="107"/>
    </row>
    <row r="131" spans="1:19" hidden="1" x14ac:dyDescent="0.3">
      <c r="A131" s="13" t="str">
        <f>D128</f>
        <v>ESTRELLAS DE ANTIOQUIA</v>
      </c>
      <c r="B131" s="108"/>
      <c r="C131" s="109"/>
      <c r="D131" s="108"/>
      <c r="E131" s="89">
        <f>Opcional2Cod</f>
        <v>327</v>
      </c>
      <c r="F131" s="102">
        <v>4.8</v>
      </c>
      <c r="G131" s="99">
        <v>4.4000000000000004</v>
      </c>
      <c r="H131" s="99">
        <v>4.9000000000000004</v>
      </c>
      <c r="I131" s="99">
        <v>5.2</v>
      </c>
      <c r="J131" s="99">
        <v>5</v>
      </c>
      <c r="K131" s="99" t="str">
        <f t="shared" si="18"/>
        <v/>
      </c>
      <c r="L131" s="99" t="str">
        <f t="shared" si="19"/>
        <v/>
      </c>
      <c r="M131" s="99">
        <f t="shared" si="15"/>
        <v>5.2</v>
      </c>
      <c r="N131" s="99">
        <f t="shared" si="16"/>
        <v>4.4000000000000004</v>
      </c>
      <c r="O131" s="110">
        <f t="shared" si="17"/>
        <v>4.8999999999999995</v>
      </c>
      <c r="P131" s="140">
        <f>IF(COUNT(F131:L131)&gt;0,O131*Opcional2GD,"")</f>
        <v>8.8199999999999985</v>
      </c>
      <c r="Q131" s="146"/>
      <c r="R131" s="143"/>
      <c r="S131" s="111"/>
    </row>
    <row r="132" spans="1:19" hidden="1" x14ac:dyDescent="0.3">
      <c r="A132" s="13" t="str">
        <f>tblPlanilla[[#This Row],[Club]]</f>
        <v>ESTRELLAS DE ANTIOQUIA</v>
      </c>
      <c r="B132" s="96">
        <v>32</v>
      </c>
      <c r="C132" s="104" t="s">
        <v>136</v>
      </c>
      <c r="D132" s="103" t="s">
        <v>121</v>
      </c>
      <c r="E132" s="89">
        <f>Obligatoria1Cod</f>
        <v>106</v>
      </c>
      <c r="F132" s="112">
        <v>4.3</v>
      </c>
      <c r="G132" s="98">
        <v>4.0999999999999996</v>
      </c>
      <c r="H132" s="98">
        <v>3.4</v>
      </c>
      <c r="I132" s="98">
        <v>3.3</v>
      </c>
      <c r="J132" s="98">
        <v>4.2</v>
      </c>
      <c r="K132" s="98" t="str">
        <f t="shared" si="18"/>
        <v/>
      </c>
      <c r="L132" s="98" t="str">
        <f t="shared" si="19"/>
        <v/>
      </c>
      <c r="M132" s="97">
        <f t="shared" si="15"/>
        <v>4.3</v>
      </c>
      <c r="N132" s="97">
        <f t="shared" si="16"/>
        <v>3.3</v>
      </c>
      <c r="O132" s="105">
        <f t="shared" si="17"/>
        <v>3.899999999999999</v>
      </c>
      <c r="P132" s="138">
        <f>IF(COUNT(F132:L132)&gt;0,O132*Obligatoria1GD,"")</f>
        <v>6.2399999999999984</v>
      </c>
      <c r="Q132" s="144"/>
      <c r="R132" s="141">
        <f>IF(COUNT(F132:L135)&gt;0,SUM(P132:P135),"")</f>
        <v>28.696666666666665</v>
      </c>
      <c r="S132" s="106">
        <f>IF(COUNT(F132:L135)&gt;0,((R132/TotalGD)*10)-SUM(Q132:Q135),0)</f>
        <v>39.856481481481481</v>
      </c>
    </row>
    <row r="133" spans="1:19" hidden="1" x14ac:dyDescent="0.3">
      <c r="A133" s="13" t="str">
        <f>D132</f>
        <v>ESTRELLAS DE ANTIOQUIA</v>
      </c>
      <c r="B133" s="87"/>
      <c r="C133" s="86"/>
      <c r="D133" s="87"/>
      <c r="E133" s="89">
        <f>Obligatoria2Cod</f>
        <v>301</v>
      </c>
      <c r="F133" s="101">
        <v>4</v>
      </c>
      <c r="G133" s="25">
        <v>3.8</v>
      </c>
      <c r="H133" s="25">
        <v>4</v>
      </c>
      <c r="I133" s="25">
        <v>4</v>
      </c>
      <c r="J133" s="25">
        <v>4.5</v>
      </c>
      <c r="K133" s="25" t="str">
        <f t="shared" si="18"/>
        <v/>
      </c>
      <c r="L133" s="25" t="str">
        <f t="shared" si="19"/>
        <v/>
      </c>
      <c r="M133" s="25">
        <f t="shared" si="15"/>
        <v>4.5</v>
      </c>
      <c r="N133" s="25">
        <f t="shared" si="16"/>
        <v>3.8</v>
      </c>
      <c r="O133" s="88">
        <f t="shared" si="17"/>
        <v>4</v>
      </c>
      <c r="P133" s="139">
        <f>IF(COUNT(F133:L133)&gt;0,O133*Obligatoria2GD,"")</f>
        <v>7.6</v>
      </c>
      <c r="Q133" s="145"/>
      <c r="R133" s="142"/>
      <c r="S133" s="107"/>
    </row>
    <row r="134" spans="1:19" hidden="1" x14ac:dyDescent="0.3">
      <c r="A134" s="13" t="str">
        <f>D132</f>
        <v>ESTRELLAS DE ANTIOQUIA</v>
      </c>
      <c r="B134" s="87"/>
      <c r="C134" s="86"/>
      <c r="D134" s="87"/>
      <c r="E134" s="89">
        <f>Opcional1Cod</f>
        <v>420</v>
      </c>
      <c r="F134" s="113">
        <v>4.3</v>
      </c>
      <c r="G134" s="26">
        <v>3.3</v>
      </c>
      <c r="H134" s="26">
        <v>3.8</v>
      </c>
      <c r="I134" s="26">
        <v>3.8</v>
      </c>
      <c r="J134" s="26">
        <v>4.7</v>
      </c>
      <c r="K134" s="26" t="str">
        <f t="shared" si="18"/>
        <v/>
      </c>
      <c r="L134" s="26" t="str">
        <f t="shared" si="19"/>
        <v/>
      </c>
      <c r="M134" s="25">
        <f t="shared" si="15"/>
        <v>4.7</v>
      </c>
      <c r="N134" s="25">
        <f t="shared" si="16"/>
        <v>3.3</v>
      </c>
      <c r="O134" s="88">
        <f t="shared" si="17"/>
        <v>3.9666666666666663</v>
      </c>
      <c r="P134" s="139">
        <f>IF(COUNT(F134:L134)&gt;0,O134*Opcional1GD,"")</f>
        <v>7.5366666666666653</v>
      </c>
      <c r="Q134" s="145"/>
      <c r="R134" s="142"/>
      <c r="S134" s="107"/>
    </row>
    <row r="135" spans="1:19" hidden="1" x14ac:dyDescent="0.3">
      <c r="A135" s="13" t="str">
        <f>D132</f>
        <v>ESTRELLAS DE ANTIOQUIA</v>
      </c>
      <c r="B135" s="108"/>
      <c r="C135" s="109"/>
      <c r="D135" s="108"/>
      <c r="E135" s="89">
        <f>Opcional2Cod</f>
        <v>327</v>
      </c>
      <c r="F135" s="102">
        <v>3</v>
      </c>
      <c r="G135" s="99">
        <v>4.5</v>
      </c>
      <c r="H135" s="99">
        <v>4</v>
      </c>
      <c r="I135" s="99">
        <v>3.9</v>
      </c>
      <c r="J135" s="99">
        <v>4.3</v>
      </c>
      <c r="K135" s="99" t="str">
        <f t="shared" si="18"/>
        <v/>
      </c>
      <c r="L135" s="99" t="str">
        <f t="shared" si="19"/>
        <v/>
      </c>
      <c r="M135" s="99">
        <f t="shared" si="15"/>
        <v>4.5</v>
      </c>
      <c r="N135" s="99">
        <f t="shared" si="16"/>
        <v>3</v>
      </c>
      <c r="O135" s="110">
        <f t="shared" si="17"/>
        <v>4.0666666666666664</v>
      </c>
      <c r="P135" s="140">
        <f>IF(COUNT(F135:L135)&gt;0,O135*Opcional2GD,"")</f>
        <v>7.3199999999999994</v>
      </c>
      <c r="Q135" s="146"/>
      <c r="R135" s="143"/>
      <c r="S135" s="111"/>
    </row>
    <row r="136" spans="1:19" hidden="1" x14ac:dyDescent="0.3">
      <c r="A136" s="13" t="str">
        <f>tblPlanilla[[#This Row],[Club]]</f>
        <v>SELECCIÃ“N ANTIOQUIA</v>
      </c>
      <c r="B136" s="96">
        <v>33</v>
      </c>
      <c r="C136" s="104" t="s">
        <v>129</v>
      </c>
      <c r="D136" s="103" t="s">
        <v>123</v>
      </c>
      <c r="E136" s="89">
        <f>Obligatoria1Cod</f>
        <v>106</v>
      </c>
      <c r="F136" s="112">
        <v>5.0999999999999996</v>
      </c>
      <c r="G136" s="98">
        <v>5</v>
      </c>
      <c r="H136" s="98">
        <v>5</v>
      </c>
      <c r="I136" s="98">
        <v>4.3</v>
      </c>
      <c r="J136" s="98">
        <v>4.5</v>
      </c>
      <c r="K136" s="98" t="str">
        <f t="shared" si="18"/>
        <v/>
      </c>
      <c r="L136" s="98" t="str">
        <f t="shared" si="19"/>
        <v/>
      </c>
      <c r="M136" s="97">
        <f t="shared" ref="M136:M167" si="20">IF(COUNT(F136:L136)&gt;4,MAX(F136:L136),"")</f>
        <v>5.0999999999999996</v>
      </c>
      <c r="N136" s="97">
        <f t="shared" ref="N136:N167" si="21">IF(COUNT(F136:L136)&gt;4,MIN(F136:L136),"")</f>
        <v>4.3</v>
      </c>
      <c r="O136" s="105">
        <f t="shared" ref="O136:O167" si="22">IF(COUNT(F136:L136)&gt;0,(SUM(F136:L136)-( SUM(M136:N136)  ))/(IF(COUNT(F136:L136)&gt;4,COUNT(F136:L136)-2,COUNT(F136:L136))),"")</f>
        <v>4.833333333333333</v>
      </c>
      <c r="P136" s="138">
        <f>IF(COUNT(F136:L136)&gt;0,O136*Obligatoria1GD,"")</f>
        <v>7.7333333333333334</v>
      </c>
      <c r="Q136" s="144"/>
      <c r="R136" s="141">
        <f>IF(COUNT(F136:L139)&gt;0,SUM(P136:P139),"")</f>
        <v>36.233333333333327</v>
      </c>
      <c r="S136" s="106">
        <f>IF(COUNT(F136:L139)&gt;0,((R136/TotalGD)*10)-SUM(Q136:Q139),0)</f>
        <v>50.324074074074062</v>
      </c>
    </row>
    <row r="137" spans="1:19" hidden="1" x14ac:dyDescent="0.3">
      <c r="A137" s="13" t="str">
        <f>D136</f>
        <v>SELECCIÃ“N ANTIOQUIA</v>
      </c>
      <c r="B137" s="87"/>
      <c r="C137" s="86"/>
      <c r="D137" s="87"/>
      <c r="E137" s="89">
        <f>Obligatoria2Cod</f>
        <v>301</v>
      </c>
      <c r="F137" s="101">
        <v>5.2</v>
      </c>
      <c r="G137" s="25">
        <v>5</v>
      </c>
      <c r="H137" s="25">
        <v>5.2</v>
      </c>
      <c r="I137" s="25">
        <v>5.9</v>
      </c>
      <c r="J137" s="25">
        <v>5</v>
      </c>
      <c r="K137" s="25" t="str">
        <f t="shared" si="18"/>
        <v/>
      </c>
      <c r="L137" s="25" t="str">
        <f t="shared" si="19"/>
        <v/>
      </c>
      <c r="M137" s="25">
        <f t="shared" si="20"/>
        <v>5.9</v>
      </c>
      <c r="N137" s="25">
        <f t="shared" si="21"/>
        <v>5</v>
      </c>
      <c r="O137" s="88">
        <f t="shared" si="22"/>
        <v>5.133333333333332</v>
      </c>
      <c r="P137" s="139">
        <f>IF(COUNT(F137:L137)&gt;0,O137*Obligatoria2GD,"")</f>
        <v>9.7533333333333303</v>
      </c>
      <c r="Q137" s="145"/>
      <c r="R137" s="142"/>
      <c r="S137" s="107"/>
    </row>
    <row r="138" spans="1:19" hidden="1" x14ac:dyDescent="0.3">
      <c r="A138" s="13" t="str">
        <f>D136</f>
        <v>SELECCIÃ“N ANTIOQUIA</v>
      </c>
      <c r="B138" s="87"/>
      <c r="C138" s="86"/>
      <c r="D138" s="87"/>
      <c r="E138" s="89">
        <f>Opcional1Cod</f>
        <v>420</v>
      </c>
      <c r="F138" s="113">
        <v>5.0999999999999996</v>
      </c>
      <c r="G138" s="26">
        <v>5</v>
      </c>
      <c r="H138" s="26">
        <v>5.0999999999999996</v>
      </c>
      <c r="I138" s="26">
        <v>5.3</v>
      </c>
      <c r="J138" s="26">
        <v>5</v>
      </c>
      <c r="K138" s="26" t="str">
        <f t="shared" si="18"/>
        <v/>
      </c>
      <c r="L138" s="26" t="str">
        <f t="shared" si="19"/>
        <v/>
      </c>
      <c r="M138" s="25">
        <f t="shared" si="20"/>
        <v>5.3</v>
      </c>
      <c r="N138" s="25">
        <f t="shared" si="21"/>
        <v>5</v>
      </c>
      <c r="O138" s="88">
        <f t="shared" si="22"/>
        <v>5.0666666666666664</v>
      </c>
      <c r="P138" s="139">
        <f>IF(COUNT(F138:L138)&gt;0,O138*Opcional1GD,"")</f>
        <v>9.6266666666666652</v>
      </c>
      <c r="Q138" s="145"/>
      <c r="R138" s="142"/>
      <c r="S138" s="107"/>
    </row>
    <row r="139" spans="1:19" hidden="1" x14ac:dyDescent="0.3">
      <c r="A139" s="13" t="str">
        <f>D136</f>
        <v>SELECCIÃ“N ANTIOQUIA</v>
      </c>
      <c r="B139" s="108"/>
      <c r="C139" s="109"/>
      <c r="D139" s="108"/>
      <c r="E139" s="89">
        <f>Opcional2Cod</f>
        <v>327</v>
      </c>
      <c r="F139" s="102">
        <v>5</v>
      </c>
      <c r="G139" s="99">
        <v>4.9000000000000004</v>
      </c>
      <c r="H139" s="99">
        <v>5.2</v>
      </c>
      <c r="I139" s="99">
        <v>5</v>
      </c>
      <c r="J139" s="99">
        <v>5.2</v>
      </c>
      <c r="K139" s="99" t="str">
        <f t="shared" si="18"/>
        <v/>
      </c>
      <c r="L139" s="99" t="str">
        <f t="shared" si="19"/>
        <v/>
      </c>
      <c r="M139" s="99">
        <f t="shared" si="20"/>
        <v>5.2</v>
      </c>
      <c r="N139" s="99">
        <f t="shared" si="21"/>
        <v>4.9000000000000004</v>
      </c>
      <c r="O139" s="110">
        <f t="shared" si="22"/>
        <v>5.0666666666666664</v>
      </c>
      <c r="P139" s="140">
        <f>IF(COUNT(F139:L139)&gt;0,O139*Opcional2GD,"")</f>
        <v>9.1199999999999992</v>
      </c>
      <c r="Q139" s="146"/>
      <c r="R139" s="143"/>
      <c r="S139" s="111"/>
    </row>
    <row r="140" spans="1:19" hidden="1" x14ac:dyDescent="0.3">
      <c r="A140" s="13" t="str">
        <f>tblPlanilla[[#This Row],[Club]]</f>
        <v>SINCROANTIOQUIA NADO</v>
      </c>
      <c r="B140" s="96">
        <v>34</v>
      </c>
      <c r="C140" s="104" t="s">
        <v>162</v>
      </c>
      <c r="D140" s="103" t="s">
        <v>122</v>
      </c>
      <c r="E140" s="89">
        <f>Obligatoria1Cod</f>
        <v>106</v>
      </c>
      <c r="F140" s="112">
        <v>4.4000000000000004</v>
      </c>
      <c r="G140" s="98">
        <v>4.4000000000000004</v>
      </c>
      <c r="H140" s="98">
        <v>4.2</v>
      </c>
      <c r="I140" s="98">
        <v>4.2</v>
      </c>
      <c r="J140" s="98">
        <v>4.5999999999999996</v>
      </c>
      <c r="K140" s="98" t="str">
        <f t="shared" si="18"/>
        <v/>
      </c>
      <c r="L140" s="98" t="str">
        <f t="shared" si="19"/>
        <v/>
      </c>
      <c r="M140" s="97">
        <f t="shared" si="20"/>
        <v>4.5999999999999996</v>
      </c>
      <c r="N140" s="97">
        <f t="shared" si="21"/>
        <v>4.2</v>
      </c>
      <c r="O140" s="105">
        <f t="shared" si="22"/>
        <v>4.3333333333333321</v>
      </c>
      <c r="P140" s="138">
        <f>IF(COUNT(F140:L140)&gt;0,O140*Obligatoria1GD,"")</f>
        <v>6.9333333333333318</v>
      </c>
      <c r="Q140" s="144"/>
      <c r="R140" s="141">
        <f>IF(COUNT(F140:L143)&gt;0,SUM(P140:P143),"")</f>
        <v>33.36333333333333</v>
      </c>
      <c r="S140" s="106">
        <f>IF(COUNT(F140:L143)&gt;0,((R140/TotalGD)*10)-SUM(Q140:Q143),0)</f>
        <v>46.337962962962955</v>
      </c>
    </row>
    <row r="141" spans="1:19" hidden="1" x14ac:dyDescent="0.3">
      <c r="A141" s="13" t="str">
        <f>D140</f>
        <v>SINCROANTIOQUIA NADO</v>
      </c>
      <c r="B141" s="87"/>
      <c r="C141" s="86"/>
      <c r="D141" s="87"/>
      <c r="E141" s="89">
        <f>Obligatoria2Cod</f>
        <v>301</v>
      </c>
      <c r="F141" s="101">
        <v>4.7</v>
      </c>
      <c r="G141" s="25">
        <v>4.0999999999999996</v>
      </c>
      <c r="H141" s="25">
        <v>4.5999999999999996</v>
      </c>
      <c r="I141" s="25">
        <v>4.7</v>
      </c>
      <c r="J141" s="25">
        <v>4.9000000000000004</v>
      </c>
      <c r="K141" s="25" t="str">
        <f t="shared" si="18"/>
        <v/>
      </c>
      <c r="L141" s="25" t="str">
        <f t="shared" si="19"/>
        <v/>
      </c>
      <c r="M141" s="25">
        <f t="shared" si="20"/>
        <v>4.9000000000000004</v>
      </c>
      <c r="N141" s="25">
        <f t="shared" si="21"/>
        <v>4.0999999999999996</v>
      </c>
      <c r="O141" s="88">
        <f t="shared" si="22"/>
        <v>4.666666666666667</v>
      </c>
      <c r="P141" s="139">
        <f>IF(COUNT(F141:L141)&gt;0,O141*Obligatoria2GD,"")</f>
        <v>8.8666666666666671</v>
      </c>
      <c r="Q141" s="145"/>
      <c r="R141" s="142"/>
      <c r="S141" s="107"/>
    </row>
    <row r="142" spans="1:19" hidden="1" x14ac:dyDescent="0.3">
      <c r="A142" s="13" t="str">
        <f>D140</f>
        <v>SINCROANTIOQUIA NADO</v>
      </c>
      <c r="B142" s="87"/>
      <c r="C142" s="86"/>
      <c r="D142" s="87"/>
      <c r="E142" s="89">
        <f>Opcional1Cod</f>
        <v>420</v>
      </c>
      <c r="F142" s="113">
        <v>4.5999999999999996</v>
      </c>
      <c r="G142" s="26">
        <v>4.5</v>
      </c>
      <c r="H142" s="26">
        <v>3.5</v>
      </c>
      <c r="I142" s="26">
        <v>4.8</v>
      </c>
      <c r="J142" s="26">
        <v>5</v>
      </c>
      <c r="K142" s="26" t="str">
        <f t="shared" si="18"/>
        <v/>
      </c>
      <c r="L142" s="26" t="str">
        <f t="shared" si="19"/>
        <v/>
      </c>
      <c r="M142" s="25">
        <f t="shared" si="20"/>
        <v>5</v>
      </c>
      <c r="N142" s="25">
        <f t="shared" si="21"/>
        <v>3.5</v>
      </c>
      <c r="O142" s="88">
        <f t="shared" si="22"/>
        <v>4.6333333333333329</v>
      </c>
      <c r="P142" s="139">
        <f>IF(COUNT(F142:L142)&gt;0,O142*Opcional1GD,"")</f>
        <v>8.8033333333333328</v>
      </c>
      <c r="Q142" s="145"/>
      <c r="R142" s="142"/>
      <c r="S142" s="107"/>
    </row>
    <row r="143" spans="1:19" hidden="1" x14ac:dyDescent="0.3">
      <c r="A143" s="13" t="str">
        <f>D140</f>
        <v>SINCROANTIOQUIA NADO</v>
      </c>
      <c r="B143" s="108"/>
      <c r="C143" s="109"/>
      <c r="D143" s="108"/>
      <c r="E143" s="89">
        <f>Opcional2Cod</f>
        <v>327</v>
      </c>
      <c r="F143" s="102">
        <v>4.8</v>
      </c>
      <c r="G143" s="99">
        <v>5</v>
      </c>
      <c r="H143" s="99">
        <v>4.7</v>
      </c>
      <c r="I143" s="99">
        <v>4.9000000000000004</v>
      </c>
      <c r="J143" s="99">
        <v>4.9000000000000004</v>
      </c>
      <c r="K143" s="99" t="str">
        <f t="shared" si="18"/>
        <v/>
      </c>
      <c r="L143" s="99" t="str">
        <f t="shared" si="19"/>
        <v/>
      </c>
      <c r="M143" s="99">
        <f t="shared" si="20"/>
        <v>5</v>
      </c>
      <c r="N143" s="99">
        <f t="shared" si="21"/>
        <v>4.7</v>
      </c>
      <c r="O143" s="110">
        <f t="shared" si="22"/>
        <v>4.8666666666666663</v>
      </c>
      <c r="P143" s="140">
        <f>IF(COUNT(F143:L143)&gt;0,O143*Opcional2GD,"")</f>
        <v>8.76</v>
      </c>
      <c r="Q143" s="146"/>
      <c r="R143" s="143"/>
      <c r="S143" s="111"/>
    </row>
    <row r="144" spans="1:19" hidden="1" x14ac:dyDescent="0.3">
      <c r="A144" s="13" t="str">
        <f>tblPlanilla[[#This Row],[Club]]</f>
        <v>SELECCIÃ“N ANTIOQUIA</v>
      </c>
      <c r="B144" s="96">
        <v>35</v>
      </c>
      <c r="C144" s="104" t="s">
        <v>163</v>
      </c>
      <c r="D144" s="103" t="s">
        <v>123</v>
      </c>
      <c r="E144" s="89">
        <f>Obligatoria1Cod</f>
        <v>106</v>
      </c>
      <c r="F144" s="112">
        <v>5.2</v>
      </c>
      <c r="G144" s="98">
        <v>5</v>
      </c>
      <c r="H144" s="98">
        <v>4.9000000000000004</v>
      </c>
      <c r="I144" s="98">
        <v>5.7</v>
      </c>
      <c r="J144" s="98">
        <v>4.8</v>
      </c>
      <c r="K144" s="98" t="str">
        <f t="shared" si="18"/>
        <v/>
      </c>
      <c r="L144" s="98" t="str">
        <f t="shared" si="19"/>
        <v/>
      </c>
      <c r="M144" s="97">
        <f t="shared" si="20"/>
        <v>5.7</v>
      </c>
      <c r="N144" s="97">
        <f t="shared" si="21"/>
        <v>4.8</v>
      </c>
      <c r="O144" s="105">
        <f t="shared" si="22"/>
        <v>5.0333333333333341</v>
      </c>
      <c r="P144" s="138">
        <f>IF(COUNT(F144:L144)&gt;0,O144*Obligatoria1GD,"")</f>
        <v>8.0533333333333346</v>
      </c>
      <c r="Q144" s="144"/>
      <c r="R144" s="141">
        <f>IF(COUNT(F144:L147)&gt;0,SUM(P144:P147),"")</f>
        <v>36.426666666666662</v>
      </c>
      <c r="S144" s="106">
        <f>IF(COUNT(F144:L147)&gt;0,((R144/TotalGD)*10)-SUM(Q144:Q147),0)</f>
        <v>50.592592592592581</v>
      </c>
    </row>
    <row r="145" spans="1:19" hidden="1" x14ac:dyDescent="0.3">
      <c r="A145" s="13" t="str">
        <f>D144</f>
        <v>SELECCIÃ“N ANTIOQUIA</v>
      </c>
      <c r="B145" s="87"/>
      <c r="C145" s="86"/>
      <c r="D145" s="87"/>
      <c r="E145" s="89">
        <f>Obligatoria2Cod</f>
        <v>301</v>
      </c>
      <c r="F145" s="101">
        <v>4.9000000000000004</v>
      </c>
      <c r="G145" s="25">
        <v>4.9000000000000004</v>
      </c>
      <c r="H145" s="25">
        <v>5</v>
      </c>
      <c r="I145" s="25">
        <v>5.4</v>
      </c>
      <c r="J145" s="25">
        <v>5.0999999999999996</v>
      </c>
      <c r="K145" s="25" t="str">
        <f t="shared" si="18"/>
        <v/>
      </c>
      <c r="L145" s="25" t="str">
        <f t="shared" si="19"/>
        <v/>
      </c>
      <c r="M145" s="25">
        <f t="shared" si="20"/>
        <v>5.4</v>
      </c>
      <c r="N145" s="25">
        <f t="shared" si="21"/>
        <v>4.9000000000000004</v>
      </c>
      <c r="O145" s="88">
        <f t="shared" si="22"/>
        <v>5.0000000000000009</v>
      </c>
      <c r="P145" s="139">
        <f>IF(COUNT(F145:L145)&gt;0,O145*Obligatoria2GD,"")</f>
        <v>9.5000000000000018</v>
      </c>
      <c r="Q145" s="145"/>
      <c r="R145" s="142"/>
      <c r="S145" s="107"/>
    </row>
    <row r="146" spans="1:19" hidden="1" x14ac:dyDescent="0.3">
      <c r="A146" s="13" t="str">
        <f>D144</f>
        <v>SELECCIÃ“N ANTIOQUIA</v>
      </c>
      <c r="B146" s="87"/>
      <c r="C146" s="86"/>
      <c r="D146" s="87"/>
      <c r="E146" s="89">
        <f>Opcional1Cod</f>
        <v>420</v>
      </c>
      <c r="F146" s="113">
        <v>5.0999999999999996</v>
      </c>
      <c r="G146" s="26">
        <v>5.0999999999999996</v>
      </c>
      <c r="H146" s="26">
        <v>5.2</v>
      </c>
      <c r="I146" s="26">
        <v>5.2</v>
      </c>
      <c r="J146" s="26">
        <v>4.7</v>
      </c>
      <c r="K146" s="26" t="str">
        <f t="shared" si="18"/>
        <v/>
      </c>
      <c r="L146" s="26" t="str">
        <f t="shared" si="19"/>
        <v/>
      </c>
      <c r="M146" s="25">
        <f t="shared" si="20"/>
        <v>5.2</v>
      </c>
      <c r="N146" s="25">
        <f t="shared" si="21"/>
        <v>4.7</v>
      </c>
      <c r="O146" s="88">
        <f t="shared" si="22"/>
        <v>5.133333333333332</v>
      </c>
      <c r="P146" s="139">
        <f>IF(COUNT(F146:L146)&gt;0,O146*Opcional1GD,"")</f>
        <v>9.7533333333333303</v>
      </c>
      <c r="Q146" s="145"/>
      <c r="R146" s="142"/>
      <c r="S146" s="107"/>
    </row>
    <row r="147" spans="1:19" hidden="1" x14ac:dyDescent="0.3">
      <c r="A147" s="13" t="str">
        <f>D144</f>
        <v>SELECCIÃ“N ANTIOQUIA</v>
      </c>
      <c r="B147" s="108"/>
      <c r="C147" s="109"/>
      <c r="D147" s="108"/>
      <c r="E147" s="89">
        <f>Opcional2Cod</f>
        <v>327</v>
      </c>
      <c r="F147" s="102">
        <v>5</v>
      </c>
      <c r="G147" s="99">
        <v>5</v>
      </c>
      <c r="H147" s="99">
        <v>5.6</v>
      </c>
      <c r="I147" s="99">
        <v>5.2</v>
      </c>
      <c r="J147" s="99">
        <v>4.9000000000000004</v>
      </c>
      <c r="K147" s="99" t="str">
        <f t="shared" si="18"/>
        <v/>
      </c>
      <c r="L147" s="99" t="str">
        <f t="shared" si="19"/>
        <v/>
      </c>
      <c r="M147" s="99">
        <f t="shared" si="20"/>
        <v>5.6</v>
      </c>
      <c r="N147" s="99">
        <f t="shared" si="21"/>
        <v>4.9000000000000004</v>
      </c>
      <c r="O147" s="110">
        <f t="shared" si="22"/>
        <v>5.0666666666666673</v>
      </c>
      <c r="P147" s="140">
        <f>IF(COUNT(F147:L147)&gt;0,O147*Opcional2GD,"")</f>
        <v>9.120000000000001</v>
      </c>
      <c r="Q147" s="146"/>
      <c r="R147" s="143"/>
      <c r="S147" s="111"/>
    </row>
    <row r="148" spans="1:19" hidden="1" x14ac:dyDescent="0.3">
      <c r="A148" s="13" t="str">
        <f>tblPlanilla[[#This Row],[Club]]</f>
        <v>SINCROANTIOQUIA NADO</v>
      </c>
      <c r="B148" s="96">
        <v>36</v>
      </c>
      <c r="C148" s="104" t="s">
        <v>164</v>
      </c>
      <c r="D148" s="103" t="s">
        <v>122</v>
      </c>
      <c r="E148" s="89">
        <f>Obligatoria1Cod</f>
        <v>106</v>
      </c>
      <c r="F148" s="112">
        <v>2.2000000000000002</v>
      </c>
      <c r="G148" s="98">
        <v>2.5</v>
      </c>
      <c r="H148" s="98">
        <v>2.8</v>
      </c>
      <c r="I148" s="98">
        <v>2.5</v>
      </c>
      <c r="J148" s="98">
        <v>2.5</v>
      </c>
      <c r="K148" s="98" t="str">
        <f t="shared" si="18"/>
        <v/>
      </c>
      <c r="L148" s="98" t="str">
        <f t="shared" si="19"/>
        <v/>
      </c>
      <c r="M148" s="97">
        <f t="shared" si="20"/>
        <v>2.8</v>
      </c>
      <c r="N148" s="97">
        <f t="shared" si="21"/>
        <v>2.2000000000000002</v>
      </c>
      <c r="O148" s="105">
        <f t="shared" si="22"/>
        <v>2.5</v>
      </c>
      <c r="P148" s="138">
        <f>IF(COUNT(F148:L148)&gt;0,O148*Obligatoria1GD,"")</f>
        <v>4</v>
      </c>
      <c r="Q148" s="144"/>
      <c r="R148" s="141">
        <f>IF(COUNT(F148:L151)&gt;0,SUM(P148:P151),"")</f>
        <v>4</v>
      </c>
      <c r="S148" s="106">
        <f>IF(COUNT(F148:L151)&gt;0,((R148/TotalGD)*10)-SUM(Q148:Q151),0)</f>
        <v>5.5555555555555554</v>
      </c>
    </row>
    <row r="149" spans="1:19" hidden="1" x14ac:dyDescent="0.3">
      <c r="A149" s="13" t="str">
        <f>D148</f>
        <v>SINCROANTIOQUIA NADO</v>
      </c>
      <c r="B149" s="87"/>
      <c r="C149" s="86"/>
      <c r="D149" s="87"/>
      <c r="E149" s="89">
        <f>Obligatoria2Cod</f>
        <v>301</v>
      </c>
      <c r="F149" s="101">
        <v>0</v>
      </c>
      <c r="G149" s="25">
        <v>0</v>
      </c>
      <c r="H149" s="25">
        <v>0</v>
      </c>
      <c r="I149" s="25">
        <v>0</v>
      </c>
      <c r="J149" s="25">
        <v>0</v>
      </c>
      <c r="K149" s="25" t="str">
        <f t="shared" si="18"/>
        <v/>
      </c>
      <c r="L149" s="25" t="str">
        <f t="shared" si="19"/>
        <v/>
      </c>
      <c r="M149" s="25">
        <f t="shared" si="20"/>
        <v>0</v>
      </c>
      <c r="N149" s="25">
        <f t="shared" si="21"/>
        <v>0</v>
      </c>
      <c r="O149" s="88">
        <f t="shared" si="22"/>
        <v>0</v>
      </c>
      <c r="P149" s="139">
        <f>IF(COUNT(F149:L149)&gt;0,O149*Obligatoria2GD,"")</f>
        <v>0</v>
      </c>
      <c r="Q149" s="145"/>
      <c r="R149" s="142"/>
      <c r="S149" s="107"/>
    </row>
    <row r="150" spans="1:19" hidden="1" x14ac:dyDescent="0.3">
      <c r="A150" s="13" t="str">
        <f>D148</f>
        <v>SINCROANTIOQUIA NADO</v>
      </c>
      <c r="B150" s="87"/>
      <c r="C150" s="86"/>
      <c r="D150" s="87"/>
      <c r="E150" s="89">
        <f>Opcional1Cod</f>
        <v>420</v>
      </c>
      <c r="F150" s="194"/>
      <c r="G150" s="195"/>
      <c r="H150" s="195" t="str">
        <f>IF(JuecesPanel&gt;=3,"",IF((JuecesPanel+JuecesCalc)&lt;3,"",IF(COUNT(F150:G150)&gt;0,AVERAGE(F150:G150),"")))</f>
        <v/>
      </c>
      <c r="I150" s="195" t="str">
        <f>IF(JuecesPanel&gt;=4,"",IF((JuecesPanel+JuecesCalc)&lt;4,"",IF(COUNT(F150:H150)&gt;0,AVERAGE(F150:H150),"")))</f>
        <v/>
      </c>
      <c r="J150" s="195" t="str">
        <f>IF(JuecesPanel&gt;=5,"",IF((JuecesPanel+JuecesCalc)&lt;5,"",IF(COUNT(F150:I150)&gt;0,AVERAGE(F150:I150),"")))</f>
        <v/>
      </c>
      <c r="K150" s="195" t="str">
        <f t="shared" si="18"/>
        <v/>
      </c>
      <c r="L150" s="195" t="str">
        <f t="shared" si="19"/>
        <v/>
      </c>
      <c r="M150" s="195" t="str">
        <f t="shared" si="20"/>
        <v/>
      </c>
      <c r="N150" s="195" t="str">
        <f t="shared" si="21"/>
        <v/>
      </c>
      <c r="O150" s="196" t="str">
        <f t="shared" si="22"/>
        <v/>
      </c>
      <c r="P150" s="197" t="str">
        <f>IF(COUNT(F150:L150)&gt;0,O150*Opcional1GD,"")</f>
        <v/>
      </c>
      <c r="Q150" s="198"/>
      <c r="R150" s="142"/>
      <c r="S150" s="107"/>
    </row>
    <row r="151" spans="1:19" hidden="1" x14ac:dyDescent="0.3">
      <c r="A151" s="13" t="str">
        <f>D148</f>
        <v>SINCROANTIOQUIA NADO</v>
      </c>
      <c r="B151" s="108"/>
      <c r="C151" s="109"/>
      <c r="D151" s="108"/>
      <c r="E151" s="89">
        <f>Opcional2Cod</f>
        <v>327</v>
      </c>
      <c r="F151" s="199"/>
      <c r="G151" s="200"/>
      <c r="H151" s="200" t="str">
        <f>IF(JuecesPanel&gt;=3,"",IF((JuecesPanel+JuecesCalc)&lt;3,"",IF(COUNT(F151:G151)&gt;0,AVERAGE(F151:G151),"")))</f>
        <v/>
      </c>
      <c r="I151" s="200" t="str">
        <f>IF(JuecesPanel&gt;=4,"",IF((JuecesPanel+JuecesCalc)&lt;4,"",IF(COUNT(F151:H151)&gt;0,AVERAGE(F151:H151),"")))</f>
        <v/>
      </c>
      <c r="J151" s="200" t="str">
        <f>IF(JuecesPanel&gt;=5,"",IF((JuecesPanel+JuecesCalc)&lt;5,"",IF(COUNT(F151:I151)&gt;0,AVERAGE(F151:I151),"")))</f>
        <v/>
      </c>
      <c r="K151" s="200" t="str">
        <f t="shared" si="18"/>
        <v/>
      </c>
      <c r="L151" s="200" t="str">
        <f t="shared" si="19"/>
        <v/>
      </c>
      <c r="M151" s="200" t="str">
        <f t="shared" si="20"/>
        <v/>
      </c>
      <c r="N151" s="200" t="str">
        <f t="shared" si="21"/>
        <v/>
      </c>
      <c r="O151" s="201" t="str">
        <f t="shared" si="22"/>
        <v/>
      </c>
      <c r="P151" s="202" t="str">
        <f>IF(COUNT(F151:L151)&gt;0,O151*Opcional2GD,"")</f>
        <v/>
      </c>
      <c r="Q151" s="203"/>
      <c r="R151" s="143"/>
      <c r="S151" s="111"/>
    </row>
    <row r="152" spans="1:19" hidden="1" x14ac:dyDescent="0.3">
      <c r="A152" s="13" t="str">
        <f>tblPlanilla[[#This Row],[Club]]</f>
        <v>SELECCIÃ“N ANTIOQUIA</v>
      </c>
      <c r="B152" s="96">
        <v>37</v>
      </c>
      <c r="C152" s="104" t="s">
        <v>165</v>
      </c>
      <c r="D152" s="103" t="s">
        <v>123</v>
      </c>
      <c r="E152" s="89">
        <f>Obligatoria1Cod</f>
        <v>106</v>
      </c>
      <c r="F152" s="112">
        <v>5</v>
      </c>
      <c r="G152" s="98">
        <v>4.0999999999999996</v>
      </c>
      <c r="H152" s="98">
        <v>5</v>
      </c>
      <c r="I152" s="98">
        <v>5.5</v>
      </c>
      <c r="J152" s="98">
        <v>4.2</v>
      </c>
      <c r="K152" s="98" t="str">
        <f t="shared" ref="K152:K183" si="23">IF(JuecesPanel&gt;=6,"",IF((JuecesPanel+JuecesCalc)&lt;6,"",IF(COUNT(F152:J152)&gt;0,AVERAGE(F152:J152),"")))</f>
        <v/>
      </c>
      <c r="L152" s="98" t="str">
        <f t="shared" ref="L152:L183" si="24">IF(JuecesPanel&gt;=7,"",IF((JuecesPanel+JuecesCalc)&lt;7,"",IF(COUNT(F152:K152)&gt;0,AVERAGE(F152:K152),"")))</f>
        <v/>
      </c>
      <c r="M152" s="97">
        <f t="shared" si="20"/>
        <v>5.5</v>
      </c>
      <c r="N152" s="97">
        <f t="shared" si="21"/>
        <v>4.0999999999999996</v>
      </c>
      <c r="O152" s="105">
        <f t="shared" si="22"/>
        <v>4.7333333333333334</v>
      </c>
      <c r="P152" s="138">
        <f>IF(COUNT(F152:L152)&gt;0,O152*Obligatoria1GD,"")</f>
        <v>7.5733333333333341</v>
      </c>
      <c r="Q152" s="144"/>
      <c r="R152" s="141">
        <f>IF(COUNT(F152:L155)&gt;0,SUM(P152:P155),"")</f>
        <v>36.82</v>
      </c>
      <c r="S152" s="106">
        <f>IF(COUNT(F152:L155)&gt;0,((R152/TotalGD)*10)-SUM(Q152:Q155),0)</f>
        <v>51.138888888888886</v>
      </c>
    </row>
    <row r="153" spans="1:19" hidden="1" x14ac:dyDescent="0.3">
      <c r="A153" s="13" t="str">
        <f>D152</f>
        <v>SELECCIÃ“N ANTIOQUIA</v>
      </c>
      <c r="B153" s="87"/>
      <c r="C153" s="86"/>
      <c r="D153" s="87"/>
      <c r="E153" s="89">
        <f>Obligatoria2Cod</f>
        <v>301</v>
      </c>
      <c r="F153" s="101">
        <v>5.5</v>
      </c>
      <c r="G153" s="25">
        <v>5.3</v>
      </c>
      <c r="H153" s="25">
        <v>5.7</v>
      </c>
      <c r="I153" s="25">
        <v>5.8</v>
      </c>
      <c r="J153" s="25">
        <v>5.7</v>
      </c>
      <c r="K153" s="25" t="str">
        <f t="shared" si="23"/>
        <v/>
      </c>
      <c r="L153" s="25" t="str">
        <f t="shared" si="24"/>
        <v/>
      </c>
      <c r="M153" s="25">
        <f t="shared" si="20"/>
        <v>5.8</v>
      </c>
      <c r="N153" s="25">
        <f t="shared" si="21"/>
        <v>5.3</v>
      </c>
      <c r="O153" s="88">
        <f t="shared" si="22"/>
        <v>5.6333333333333329</v>
      </c>
      <c r="P153" s="139">
        <f>IF(COUNT(F153:L153)&gt;0,O153*Obligatoria2GD,"")</f>
        <v>10.703333333333331</v>
      </c>
      <c r="Q153" s="145"/>
      <c r="R153" s="142"/>
      <c r="S153" s="107"/>
    </row>
    <row r="154" spans="1:19" hidden="1" x14ac:dyDescent="0.3">
      <c r="A154" s="13" t="str">
        <f>D152</f>
        <v>SELECCIÃ“N ANTIOQUIA</v>
      </c>
      <c r="B154" s="87"/>
      <c r="C154" s="86"/>
      <c r="D154" s="87"/>
      <c r="E154" s="89">
        <f>Opcional1Cod</f>
        <v>420</v>
      </c>
      <c r="F154" s="113">
        <v>4.9000000000000004</v>
      </c>
      <c r="G154" s="26">
        <v>4.5999999999999996</v>
      </c>
      <c r="H154" s="26">
        <v>5</v>
      </c>
      <c r="I154" s="26">
        <v>5</v>
      </c>
      <c r="J154" s="26">
        <v>4.5999999999999996</v>
      </c>
      <c r="K154" s="26" t="str">
        <f t="shared" si="23"/>
        <v/>
      </c>
      <c r="L154" s="26" t="str">
        <f t="shared" si="24"/>
        <v/>
      </c>
      <c r="M154" s="25">
        <f t="shared" si="20"/>
        <v>5</v>
      </c>
      <c r="N154" s="25">
        <f t="shared" si="21"/>
        <v>4.5999999999999996</v>
      </c>
      <c r="O154" s="88">
        <f t="shared" si="22"/>
        <v>4.8333333333333339</v>
      </c>
      <c r="P154" s="139">
        <f>IF(COUNT(F154:L154)&gt;0,O154*Opcional1GD,"")</f>
        <v>9.1833333333333336</v>
      </c>
      <c r="Q154" s="145"/>
      <c r="R154" s="142"/>
      <c r="S154" s="107"/>
    </row>
    <row r="155" spans="1:19" hidden="1" x14ac:dyDescent="0.3">
      <c r="A155" s="13" t="str">
        <f>D152</f>
        <v>SELECCIÃ“N ANTIOQUIA</v>
      </c>
      <c r="B155" s="108"/>
      <c r="C155" s="109"/>
      <c r="D155" s="108"/>
      <c r="E155" s="89">
        <f>Opcional2Cod</f>
        <v>327</v>
      </c>
      <c r="F155" s="102">
        <v>5.0999999999999996</v>
      </c>
      <c r="G155" s="99">
        <v>5.0999999999999996</v>
      </c>
      <c r="H155" s="99">
        <v>5.0999999999999996</v>
      </c>
      <c r="I155" s="99">
        <v>5.4</v>
      </c>
      <c r="J155" s="99">
        <v>5.5</v>
      </c>
      <c r="K155" s="99" t="str">
        <f t="shared" si="23"/>
        <v/>
      </c>
      <c r="L155" s="99" t="str">
        <f t="shared" si="24"/>
        <v/>
      </c>
      <c r="M155" s="99">
        <f t="shared" si="20"/>
        <v>5.5</v>
      </c>
      <c r="N155" s="99">
        <f t="shared" si="21"/>
        <v>5.0999999999999996</v>
      </c>
      <c r="O155" s="110">
        <f t="shared" si="22"/>
        <v>5.2</v>
      </c>
      <c r="P155" s="140">
        <f>IF(COUNT(F155:L155)&gt;0,O155*Opcional2GD,"")</f>
        <v>9.3600000000000012</v>
      </c>
      <c r="Q155" s="146"/>
      <c r="R155" s="143"/>
      <c r="S155" s="111"/>
    </row>
    <row r="156" spans="1:19" hidden="1" x14ac:dyDescent="0.3">
      <c r="A156" s="13" t="str">
        <f>tblPlanilla[[#This Row],[Club]]</f>
        <v>ESTRELLAS DE ANTIOQUIA</v>
      </c>
      <c r="B156" s="96">
        <v>38</v>
      </c>
      <c r="C156" s="104" t="s">
        <v>166</v>
      </c>
      <c r="D156" s="103" t="s">
        <v>121</v>
      </c>
      <c r="E156" s="89">
        <f>Obligatoria1Cod</f>
        <v>106</v>
      </c>
      <c r="F156" s="112">
        <v>2.9</v>
      </c>
      <c r="G156" s="98">
        <v>3</v>
      </c>
      <c r="H156" s="98">
        <v>3.2</v>
      </c>
      <c r="I156" s="98">
        <v>4.0999999999999996</v>
      </c>
      <c r="J156" s="98">
        <v>4</v>
      </c>
      <c r="K156" s="98" t="str">
        <f t="shared" si="23"/>
        <v/>
      </c>
      <c r="L156" s="98" t="str">
        <f t="shared" si="24"/>
        <v/>
      </c>
      <c r="M156" s="97">
        <f t="shared" si="20"/>
        <v>4.0999999999999996</v>
      </c>
      <c r="N156" s="97">
        <f t="shared" si="21"/>
        <v>2.9</v>
      </c>
      <c r="O156" s="105">
        <f t="shared" si="22"/>
        <v>3.4000000000000008</v>
      </c>
      <c r="P156" s="138">
        <f>IF(COUNT(F156:L156)&gt;0,O156*Obligatoria1GD,"")</f>
        <v>5.4400000000000013</v>
      </c>
      <c r="Q156" s="144"/>
      <c r="R156" s="141">
        <f>IF(COUNT(F156:L159)&gt;0,SUM(P156:P159),"")</f>
        <v>25.386666666666667</v>
      </c>
      <c r="S156" s="106">
        <f>IF(COUNT(F156:L159)&gt;0,((R156/TotalGD)*10)-SUM(Q156:Q159),0)</f>
        <v>35.25925925925926</v>
      </c>
    </row>
    <row r="157" spans="1:19" hidden="1" x14ac:dyDescent="0.3">
      <c r="A157" s="13" t="str">
        <f>D156</f>
        <v>ESTRELLAS DE ANTIOQUIA</v>
      </c>
      <c r="B157" s="87"/>
      <c r="C157" s="86"/>
      <c r="D157" s="87"/>
      <c r="E157" s="89">
        <f>Obligatoria2Cod</f>
        <v>301</v>
      </c>
      <c r="F157" s="101">
        <v>3.8</v>
      </c>
      <c r="G157" s="25">
        <v>3.7</v>
      </c>
      <c r="H157" s="25">
        <v>4.5999999999999996</v>
      </c>
      <c r="I157" s="25">
        <v>4.3</v>
      </c>
      <c r="J157" s="25">
        <v>4.5</v>
      </c>
      <c r="K157" s="25" t="str">
        <f t="shared" si="23"/>
        <v/>
      </c>
      <c r="L157" s="25" t="str">
        <f t="shared" si="24"/>
        <v/>
      </c>
      <c r="M157" s="25">
        <f t="shared" si="20"/>
        <v>4.5999999999999996</v>
      </c>
      <c r="N157" s="25">
        <f t="shared" si="21"/>
        <v>3.7</v>
      </c>
      <c r="O157" s="88">
        <f t="shared" si="22"/>
        <v>4.1999999999999993</v>
      </c>
      <c r="P157" s="139">
        <f>IF(COUNT(F157:L157)&gt;0,O157*Obligatoria2GD,"")</f>
        <v>7.9799999999999986</v>
      </c>
      <c r="Q157" s="145"/>
      <c r="R157" s="142"/>
      <c r="S157" s="107"/>
    </row>
    <row r="158" spans="1:19" hidden="1" x14ac:dyDescent="0.3">
      <c r="A158" s="13" t="str">
        <f>D156</f>
        <v>ESTRELLAS DE ANTIOQUIA</v>
      </c>
      <c r="B158" s="87"/>
      <c r="C158" s="86"/>
      <c r="D158" s="87"/>
      <c r="E158" s="89">
        <f>Opcional1Cod</f>
        <v>420</v>
      </c>
      <c r="F158" s="113">
        <v>2</v>
      </c>
      <c r="G158" s="26">
        <v>2.2000000000000002</v>
      </c>
      <c r="H158" s="26">
        <v>2.8</v>
      </c>
      <c r="I158" s="26">
        <v>3</v>
      </c>
      <c r="J158" s="26">
        <v>5.3</v>
      </c>
      <c r="K158" s="26" t="str">
        <f t="shared" si="23"/>
        <v/>
      </c>
      <c r="L158" s="26" t="str">
        <f t="shared" si="24"/>
        <v/>
      </c>
      <c r="M158" s="25">
        <f t="shared" si="20"/>
        <v>5.3</v>
      </c>
      <c r="N158" s="25">
        <f t="shared" si="21"/>
        <v>2</v>
      </c>
      <c r="O158" s="88">
        <f t="shared" si="22"/>
        <v>2.6666666666666665</v>
      </c>
      <c r="P158" s="139">
        <f>IF(COUNT(F158:L158)&gt;0,O158*Opcional1GD,"")</f>
        <v>5.0666666666666664</v>
      </c>
      <c r="Q158" s="145"/>
      <c r="R158" s="142"/>
      <c r="S158" s="107"/>
    </row>
    <row r="159" spans="1:19" hidden="1" x14ac:dyDescent="0.3">
      <c r="A159" s="13" t="str">
        <f>D156</f>
        <v>ESTRELLAS DE ANTIOQUIA</v>
      </c>
      <c r="B159" s="108"/>
      <c r="C159" s="109"/>
      <c r="D159" s="108"/>
      <c r="E159" s="89">
        <f>Opcional2Cod</f>
        <v>327</v>
      </c>
      <c r="F159" s="102">
        <v>3.3</v>
      </c>
      <c r="G159" s="99">
        <v>3.8</v>
      </c>
      <c r="H159" s="99">
        <v>3.5</v>
      </c>
      <c r="I159" s="99">
        <v>4.2</v>
      </c>
      <c r="J159" s="99">
        <v>4.8</v>
      </c>
      <c r="K159" s="99" t="str">
        <f t="shared" si="23"/>
        <v/>
      </c>
      <c r="L159" s="99" t="str">
        <f t="shared" si="24"/>
        <v/>
      </c>
      <c r="M159" s="99">
        <f t="shared" si="20"/>
        <v>4.8</v>
      </c>
      <c r="N159" s="99">
        <f t="shared" si="21"/>
        <v>3.3</v>
      </c>
      <c r="O159" s="110">
        <f t="shared" si="22"/>
        <v>3.8333333333333339</v>
      </c>
      <c r="P159" s="140">
        <f>IF(COUNT(F159:L159)&gt;0,O159*Opcional2GD,"")</f>
        <v>6.9000000000000012</v>
      </c>
      <c r="Q159" s="146"/>
      <c r="R159" s="143"/>
      <c r="S159" s="111"/>
    </row>
    <row r="160" spans="1:19" x14ac:dyDescent="0.3">
      <c r="A160" s="13" t="str">
        <f>tblPlanilla[[#This Row],[Club]]</f>
        <v>AQUASWIM</v>
      </c>
      <c r="B160" s="96">
        <v>39</v>
      </c>
      <c r="C160" s="104" t="s">
        <v>167</v>
      </c>
      <c r="D160" s="103" t="s">
        <v>114</v>
      </c>
      <c r="E160" s="89">
        <f>Obligatoria1Cod</f>
        <v>106</v>
      </c>
      <c r="F160" s="112">
        <v>3</v>
      </c>
      <c r="G160" s="98">
        <v>3.8</v>
      </c>
      <c r="H160" s="98">
        <v>3.1</v>
      </c>
      <c r="I160" s="98">
        <v>4</v>
      </c>
      <c r="J160" s="98">
        <v>4.7</v>
      </c>
      <c r="K160" s="98" t="str">
        <f t="shared" si="23"/>
        <v/>
      </c>
      <c r="L160" s="98" t="str">
        <f t="shared" si="24"/>
        <v/>
      </c>
      <c r="M160" s="97">
        <f t="shared" si="20"/>
        <v>4.7</v>
      </c>
      <c r="N160" s="97">
        <f t="shared" si="21"/>
        <v>3</v>
      </c>
      <c r="O160" s="105">
        <f t="shared" si="22"/>
        <v>3.6333333333333342</v>
      </c>
      <c r="P160" s="138">
        <f>IF(COUNT(F160:L160)&gt;0,O160*Obligatoria1GD,"")</f>
        <v>5.8133333333333352</v>
      </c>
      <c r="Q160" s="144"/>
      <c r="R160" s="141">
        <f>IF(COUNT(F160:L163)&gt;0,SUM(P160:P163),"")</f>
        <v>27.553333333333335</v>
      </c>
      <c r="S160" s="106">
        <f>IF(COUNT(F160:L163)&gt;0,((R160/TotalGD)*10)-SUM(Q160:Q163),0)</f>
        <v>38.268518518518519</v>
      </c>
    </row>
    <row r="161" spans="1:19" x14ac:dyDescent="0.3">
      <c r="A161" s="13" t="str">
        <f>D160</f>
        <v>AQUASWIM</v>
      </c>
      <c r="B161" s="87"/>
      <c r="C161" s="86"/>
      <c r="D161" s="87"/>
      <c r="E161" s="89">
        <f>Obligatoria2Cod</f>
        <v>301</v>
      </c>
      <c r="F161" s="101">
        <v>3.2</v>
      </c>
      <c r="G161" s="25">
        <v>3.5</v>
      </c>
      <c r="H161" s="25">
        <v>4.3</v>
      </c>
      <c r="I161" s="25">
        <v>4.0999999999999996</v>
      </c>
      <c r="J161" s="25">
        <v>4.7</v>
      </c>
      <c r="K161" s="25" t="str">
        <f t="shared" si="23"/>
        <v/>
      </c>
      <c r="L161" s="25" t="str">
        <f t="shared" si="24"/>
        <v/>
      </c>
      <c r="M161" s="25">
        <f t="shared" si="20"/>
        <v>4.7</v>
      </c>
      <c r="N161" s="25">
        <f t="shared" si="21"/>
        <v>3.2</v>
      </c>
      <c r="O161" s="88">
        <f t="shared" si="22"/>
        <v>3.9666666666666668</v>
      </c>
      <c r="P161" s="139">
        <f>IF(COUNT(F161:L161)&gt;0,O161*Obligatoria2GD,"")</f>
        <v>7.5366666666666662</v>
      </c>
      <c r="Q161" s="145"/>
      <c r="R161" s="142"/>
      <c r="S161" s="107"/>
    </row>
    <row r="162" spans="1:19" x14ac:dyDescent="0.3">
      <c r="A162" s="13" t="str">
        <f>D160</f>
        <v>AQUASWIM</v>
      </c>
      <c r="B162" s="87"/>
      <c r="C162" s="86"/>
      <c r="D162" s="87"/>
      <c r="E162" s="89">
        <f>Opcional1Cod</f>
        <v>420</v>
      </c>
      <c r="F162" s="113">
        <v>4.0999999999999996</v>
      </c>
      <c r="G162" s="26">
        <v>3.1</v>
      </c>
      <c r="H162" s="26">
        <v>3.1</v>
      </c>
      <c r="I162" s="26">
        <v>4.3</v>
      </c>
      <c r="J162" s="26">
        <v>2</v>
      </c>
      <c r="K162" s="26" t="str">
        <f t="shared" si="23"/>
        <v/>
      </c>
      <c r="L162" s="26" t="str">
        <f t="shared" si="24"/>
        <v/>
      </c>
      <c r="M162" s="25">
        <f t="shared" si="20"/>
        <v>4.3</v>
      </c>
      <c r="N162" s="25">
        <f t="shared" si="21"/>
        <v>2</v>
      </c>
      <c r="O162" s="88">
        <f t="shared" si="22"/>
        <v>3.4333333333333322</v>
      </c>
      <c r="P162" s="139">
        <f>IF(COUNT(F162:L162)&gt;0,O162*Opcional1GD,"")</f>
        <v>6.5233333333333308</v>
      </c>
      <c r="Q162" s="145"/>
      <c r="R162" s="142"/>
      <c r="S162" s="107"/>
    </row>
    <row r="163" spans="1:19" x14ac:dyDescent="0.3">
      <c r="A163" s="13" t="str">
        <f>D160</f>
        <v>AQUASWIM</v>
      </c>
      <c r="B163" s="108"/>
      <c r="C163" s="109"/>
      <c r="D163" s="108"/>
      <c r="E163" s="89">
        <f>Opcional2Cod</f>
        <v>327</v>
      </c>
      <c r="F163" s="102">
        <v>4.2</v>
      </c>
      <c r="G163" s="99">
        <v>4.0999999999999996</v>
      </c>
      <c r="H163" s="99">
        <v>3.9</v>
      </c>
      <c r="I163" s="99">
        <v>4.5</v>
      </c>
      <c r="J163" s="99">
        <v>4.5</v>
      </c>
      <c r="K163" s="99" t="str">
        <f t="shared" si="23"/>
        <v/>
      </c>
      <c r="L163" s="99" t="str">
        <f t="shared" si="24"/>
        <v/>
      </c>
      <c r="M163" s="99">
        <f t="shared" si="20"/>
        <v>4.5</v>
      </c>
      <c r="N163" s="99">
        <f t="shared" si="21"/>
        <v>3.9</v>
      </c>
      <c r="O163" s="110">
        <f t="shared" si="22"/>
        <v>4.2666666666666675</v>
      </c>
      <c r="P163" s="140">
        <f>IF(COUNT(F163:L163)&gt;0,O163*Opcional2GD,"")</f>
        <v>7.6800000000000015</v>
      </c>
      <c r="Q163" s="146"/>
      <c r="R163" s="143"/>
      <c r="S163" s="111"/>
    </row>
    <row r="164" spans="1:19" hidden="1" x14ac:dyDescent="0.3">
      <c r="A164" s="13" t="str">
        <f>tblPlanilla[[#This Row],[Club]]</f>
        <v>SINCROANTIOQUIA NADO</v>
      </c>
      <c r="B164" s="96">
        <v>40</v>
      </c>
      <c r="C164" s="104" t="s">
        <v>168</v>
      </c>
      <c r="D164" s="103" t="s">
        <v>122</v>
      </c>
      <c r="E164" s="89">
        <f>Obligatoria1Cod</f>
        <v>106</v>
      </c>
      <c r="F164" s="112">
        <v>2.9</v>
      </c>
      <c r="G164" s="98">
        <v>3.4</v>
      </c>
      <c r="H164" s="98">
        <v>3.5</v>
      </c>
      <c r="I164" s="98">
        <v>4.2</v>
      </c>
      <c r="J164" s="98">
        <v>4.7</v>
      </c>
      <c r="K164" s="98" t="str">
        <f t="shared" si="23"/>
        <v/>
      </c>
      <c r="L164" s="98" t="str">
        <f t="shared" si="24"/>
        <v/>
      </c>
      <c r="M164" s="97">
        <f t="shared" si="20"/>
        <v>4.7</v>
      </c>
      <c r="N164" s="97">
        <f t="shared" si="21"/>
        <v>2.9</v>
      </c>
      <c r="O164" s="105">
        <f t="shared" si="22"/>
        <v>3.6999999999999997</v>
      </c>
      <c r="P164" s="138">
        <f>IF(COUNT(F164:L164)&gt;0,O164*Obligatoria1GD,"")</f>
        <v>5.92</v>
      </c>
      <c r="Q164" s="144"/>
      <c r="R164" s="141">
        <f>IF(COUNT(F164:L167)&gt;0,SUM(P164:P167),"")</f>
        <v>26.689999999999998</v>
      </c>
      <c r="S164" s="106">
        <f>IF(COUNT(F164:L167)&gt;0,((R164/TotalGD)*10)-SUM(Q164:Q167),0)</f>
        <v>37.069444444444443</v>
      </c>
    </row>
    <row r="165" spans="1:19" hidden="1" x14ac:dyDescent="0.3">
      <c r="A165" s="13" t="str">
        <f>D164</f>
        <v>SINCROANTIOQUIA NADO</v>
      </c>
      <c r="B165" s="87"/>
      <c r="C165" s="86"/>
      <c r="D165" s="87"/>
      <c r="E165" s="89">
        <f>Obligatoria2Cod</f>
        <v>301</v>
      </c>
      <c r="F165" s="101">
        <v>3</v>
      </c>
      <c r="G165" s="25">
        <v>3</v>
      </c>
      <c r="H165" s="25">
        <v>3.8</v>
      </c>
      <c r="I165" s="25">
        <v>3.8</v>
      </c>
      <c r="J165" s="25">
        <v>4.5</v>
      </c>
      <c r="K165" s="25" t="str">
        <f t="shared" si="23"/>
        <v/>
      </c>
      <c r="L165" s="25" t="str">
        <f t="shared" si="24"/>
        <v/>
      </c>
      <c r="M165" s="25">
        <f t="shared" si="20"/>
        <v>4.5</v>
      </c>
      <c r="N165" s="25">
        <f t="shared" si="21"/>
        <v>3</v>
      </c>
      <c r="O165" s="88">
        <f t="shared" si="22"/>
        <v>3.5333333333333337</v>
      </c>
      <c r="P165" s="139">
        <f>IF(COUNT(F165:L165)&gt;0,O165*Obligatoria2GD,"")</f>
        <v>6.7133333333333338</v>
      </c>
      <c r="Q165" s="145"/>
      <c r="R165" s="142"/>
      <c r="S165" s="107"/>
    </row>
    <row r="166" spans="1:19" hidden="1" x14ac:dyDescent="0.3">
      <c r="A166" s="13" t="str">
        <f>D164</f>
        <v>SINCROANTIOQUIA NADO</v>
      </c>
      <c r="B166" s="87"/>
      <c r="C166" s="86"/>
      <c r="D166" s="87"/>
      <c r="E166" s="89">
        <f>Opcional1Cod</f>
        <v>420</v>
      </c>
      <c r="F166" s="113">
        <v>3.2</v>
      </c>
      <c r="G166" s="26">
        <v>3.6</v>
      </c>
      <c r="H166" s="26">
        <v>3.5</v>
      </c>
      <c r="I166" s="26">
        <v>4.2</v>
      </c>
      <c r="J166" s="26">
        <v>4.4000000000000004</v>
      </c>
      <c r="K166" s="26" t="str">
        <f t="shared" si="23"/>
        <v/>
      </c>
      <c r="L166" s="26" t="str">
        <f t="shared" si="24"/>
        <v/>
      </c>
      <c r="M166" s="25">
        <f t="shared" si="20"/>
        <v>4.4000000000000004</v>
      </c>
      <c r="N166" s="25">
        <f t="shared" si="21"/>
        <v>3.2</v>
      </c>
      <c r="O166" s="88">
        <f t="shared" si="22"/>
        <v>3.7666666666666657</v>
      </c>
      <c r="P166" s="139">
        <f>IF(COUNT(F166:L166)&gt;0,O166*Opcional1GD,"")</f>
        <v>7.1566666666666645</v>
      </c>
      <c r="Q166" s="145"/>
      <c r="R166" s="142"/>
      <c r="S166" s="107"/>
    </row>
    <row r="167" spans="1:19" hidden="1" x14ac:dyDescent="0.3">
      <c r="A167" s="13" t="str">
        <f>D164</f>
        <v>SINCROANTIOQUIA NADO</v>
      </c>
      <c r="B167" s="108"/>
      <c r="C167" s="109"/>
      <c r="D167" s="108"/>
      <c r="E167" s="89">
        <f>Opcional2Cod</f>
        <v>327</v>
      </c>
      <c r="F167" s="102">
        <v>3.7</v>
      </c>
      <c r="G167" s="99">
        <v>3.8</v>
      </c>
      <c r="H167" s="99">
        <v>3.7</v>
      </c>
      <c r="I167" s="99">
        <v>4</v>
      </c>
      <c r="J167" s="99">
        <v>4.3</v>
      </c>
      <c r="K167" s="99" t="str">
        <f t="shared" si="23"/>
        <v/>
      </c>
      <c r="L167" s="99" t="str">
        <f t="shared" si="24"/>
        <v/>
      </c>
      <c r="M167" s="99">
        <f t="shared" si="20"/>
        <v>4.3</v>
      </c>
      <c r="N167" s="99">
        <f t="shared" si="21"/>
        <v>3.7</v>
      </c>
      <c r="O167" s="110">
        <f t="shared" si="22"/>
        <v>3.8333333333333335</v>
      </c>
      <c r="P167" s="140">
        <f>IF(COUNT(F167:L167)&gt;0,O167*Opcional2GD,"")</f>
        <v>6.9</v>
      </c>
      <c r="Q167" s="146"/>
      <c r="R167" s="143"/>
      <c r="S167" s="111"/>
    </row>
    <row r="168" spans="1:19" hidden="1" x14ac:dyDescent="0.3">
      <c r="A168" s="13" t="str">
        <f>tblPlanilla[[#This Row],[Club]]</f>
        <v>ESTRELLAS DE ANTIOQUIA</v>
      </c>
      <c r="B168" s="96">
        <v>41</v>
      </c>
      <c r="C168" s="104" t="s">
        <v>169</v>
      </c>
      <c r="D168" s="103" t="s">
        <v>121</v>
      </c>
      <c r="E168" s="89">
        <f>Obligatoria1Cod</f>
        <v>106</v>
      </c>
      <c r="F168" s="112">
        <v>4.5999999999999996</v>
      </c>
      <c r="G168" s="98">
        <v>5.0999999999999996</v>
      </c>
      <c r="H168" s="98">
        <v>4.7</v>
      </c>
      <c r="I168" s="98">
        <v>4.5999999999999996</v>
      </c>
      <c r="J168" s="98">
        <v>5.0999999999999996</v>
      </c>
      <c r="K168" s="98" t="str">
        <f t="shared" si="23"/>
        <v/>
      </c>
      <c r="L168" s="98" t="str">
        <f t="shared" si="24"/>
        <v/>
      </c>
      <c r="M168" s="97">
        <f t="shared" ref="M168:M199" si="25">IF(COUNT(F168:L168)&gt;4,MAX(F168:L168),"")</f>
        <v>5.0999999999999996</v>
      </c>
      <c r="N168" s="97">
        <f t="shared" ref="N168:N195" si="26">IF(COUNT(F168:L168)&gt;4,MIN(F168:L168),"")</f>
        <v>4.5999999999999996</v>
      </c>
      <c r="O168" s="105">
        <f t="shared" ref="O168:O199" si="27">IF(COUNT(F168:L168)&gt;0,(SUM(F168:L168)-( SUM(M168:N168)  ))/(IF(COUNT(F168:L168)&gt;4,COUNT(F168:L168)-2,COUNT(F168:L168))),"")</f>
        <v>4.8000000000000007</v>
      </c>
      <c r="P168" s="138">
        <f>IF(COUNT(F168:L168)&gt;0,O168*Obligatoria1GD,"")</f>
        <v>7.6800000000000015</v>
      </c>
      <c r="Q168" s="144"/>
      <c r="R168" s="141">
        <f>IF(COUNT(F168:L171)&gt;0,SUM(P168:P171),"")</f>
        <v>31.853333333333339</v>
      </c>
      <c r="S168" s="106">
        <f>IF(COUNT(F168:L171)&gt;0,((R168/TotalGD)*10)-SUM(Q168:Q171),0)</f>
        <v>44.240740740740748</v>
      </c>
    </row>
    <row r="169" spans="1:19" hidden="1" x14ac:dyDescent="0.3">
      <c r="A169" s="13" t="str">
        <f>D168</f>
        <v>ESTRELLAS DE ANTIOQUIA</v>
      </c>
      <c r="B169" s="87"/>
      <c r="C169" s="86"/>
      <c r="D169" s="87"/>
      <c r="E169" s="89">
        <f>Obligatoria2Cod</f>
        <v>301</v>
      </c>
      <c r="F169" s="101">
        <v>3.8</v>
      </c>
      <c r="G169" s="25">
        <v>4</v>
      </c>
      <c r="H169" s="25">
        <v>4</v>
      </c>
      <c r="I169" s="25">
        <v>4.3</v>
      </c>
      <c r="J169" s="25">
        <v>4.9000000000000004</v>
      </c>
      <c r="K169" s="25" t="str">
        <f t="shared" si="23"/>
        <v/>
      </c>
      <c r="L169" s="25" t="str">
        <f t="shared" si="24"/>
        <v/>
      </c>
      <c r="M169" s="25">
        <f t="shared" si="25"/>
        <v>4.9000000000000004</v>
      </c>
      <c r="N169" s="25">
        <f t="shared" si="26"/>
        <v>3.8</v>
      </c>
      <c r="O169" s="88">
        <f t="shared" si="27"/>
        <v>4.1000000000000005</v>
      </c>
      <c r="P169" s="139">
        <f>IF(COUNT(F169:L169)&gt;0,O169*Obligatoria2GD,"")</f>
        <v>7.7900000000000009</v>
      </c>
      <c r="Q169" s="145"/>
      <c r="R169" s="142"/>
      <c r="S169" s="107"/>
    </row>
    <row r="170" spans="1:19" hidden="1" x14ac:dyDescent="0.3">
      <c r="A170" s="13" t="str">
        <f>D168</f>
        <v>ESTRELLAS DE ANTIOQUIA</v>
      </c>
      <c r="B170" s="87"/>
      <c r="C170" s="86"/>
      <c r="D170" s="87"/>
      <c r="E170" s="89">
        <f>Opcional1Cod</f>
        <v>420</v>
      </c>
      <c r="F170" s="113">
        <v>4.0999999999999996</v>
      </c>
      <c r="G170" s="26">
        <v>4</v>
      </c>
      <c r="H170" s="26">
        <v>4.2</v>
      </c>
      <c r="I170" s="26">
        <v>4.4000000000000004</v>
      </c>
      <c r="J170" s="26">
        <v>5.0999999999999996</v>
      </c>
      <c r="K170" s="26" t="str">
        <f t="shared" si="23"/>
        <v/>
      </c>
      <c r="L170" s="26" t="str">
        <f t="shared" si="24"/>
        <v/>
      </c>
      <c r="M170" s="25">
        <f t="shared" si="25"/>
        <v>5.0999999999999996</v>
      </c>
      <c r="N170" s="25">
        <f t="shared" si="26"/>
        <v>4</v>
      </c>
      <c r="O170" s="88">
        <f t="shared" si="27"/>
        <v>4.2333333333333352</v>
      </c>
      <c r="P170" s="139">
        <f>IF(COUNT(F170:L170)&gt;0,O170*Opcional1GD,"")</f>
        <v>8.0433333333333366</v>
      </c>
      <c r="Q170" s="145"/>
      <c r="R170" s="142"/>
      <c r="S170" s="107"/>
    </row>
    <row r="171" spans="1:19" hidden="1" x14ac:dyDescent="0.3">
      <c r="A171" s="13" t="str">
        <f>D168</f>
        <v>ESTRELLAS DE ANTIOQUIA</v>
      </c>
      <c r="B171" s="108"/>
      <c r="C171" s="109"/>
      <c r="D171" s="108"/>
      <c r="E171" s="89">
        <f>Opcional2Cod</f>
        <v>327</v>
      </c>
      <c r="F171" s="102">
        <v>4.8</v>
      </c>
      <c r="G171" s="99">
        <v>4.0999999999999996</v>
      </c>
      <c r="H171" s="99">
        <v>4.4000000000000004</v>
      </c>
      <c r="I171" s="99">
        <v>4.7</v>
      </c>
      <c r="J171" s="99">
        <v>4.8</v>
      </c>
      <c r="K171" s="99" t="str">
        <f t="shared" si="23"/>
        <v/>
      </c>
      <c r="L171" s="99" t="str">
        <f t="shared" si="24"/>
        <v/>
      </c>
      <c r="M171" s="99">
        <f t="shared" si="25"/>
        <v>4.8</v>
      </c>
      <c r="N171" s="99">
        <f t="shared" si="26"/>
        <v>4.0999999999999996</v>
      </c>
      <c r="O171" s="110">
        <f t="shared" si="27"/>
        <v>4.6333333333333337</v>
      </c>
      <c r="P171" s="140">
        <f>IF(COUNT(F171:L171)&gt;0,O171*Opcional2GD,"")</f>
        <v>8.3400000000000016</v>
      </c>
      <c r="Q171" s="146"/>
      <c r="R171" s="143"/>
      <c r="S171" s="111"/>
    </row>
    <row r="172" spans="1:19" hidden="1" x14ac:dyDescent="0.3">
      <c r="A172" s="13" t="str">
        <f>tblPlanilla[[#This Row],[Club]]</f>
        <v>SINCROANTIOQUIA NADO</v>
      </c>
      <c r="B172" s="96">
        <v>42</v>
      </c>
      <c r="C172" s="104" t="s">
        <v>131</v>
      </c>
      <c r="D172" s="103" t="s">
        <v>122</v>
      </c>
      <c r="E172" s="89">
        <f>Obligatoria1Cod</f>
        <v>106</v>
      </c>
      <c r="F172" s="112">
        <v>4.0999999999999996</v>
      </c>
      <c r="G172" s="98">
        <v>3.7</v>
      </c>
      <c r="H172" s="98">
        <v>3.8</v>
      </c>
      <c r="I172" s="98">
        <v>4.8</v>
      </c>
      <c r="J172" s="98">
        <v>4.5999999999999996</v>
      </c>
      <c r="K172" s="98" t="str">
        <f t="shared" si="23"/>
        <v/>
      </c>
      <c r="L172" s="98" t="str">
        <f t="shared" si="24"/>
        <v/>
      </c>
      <c r="M172" s="97">
        <f t="shared" si="25"/>
        <v>4.8</v>
      </c>
      <c r="N172" s="97">
        <f t="shared" si="26"/>
        <v>3.7</v>
      </c>
      <c r="O172" s="105">
        <f t="shared" si="27"/>
        <v>4.166666666666667</v>
      </c>
      <c r="P172" s="138">
        <f>IF(COUNT(F172:L172)&gt;0,O172*Obligatoria1GD,"")</f>
        <v>6.6666666666666679</v>
      </c>
      <c r="Q172" s="144"/>
      <c r="R172" s="141">
        <f>IF(COUNT(F172:L175)&gt;0,SUM(P172:P175),"")</f>
        <v>28.583333333333332</v>
      </c>
      <c r="S172" s="106">
        <f>IF(COUNT(F172:L175)&gt;0,((R172/TotalGD)*10)-SUM(Q172:Q175),0)</f>
        <v>39.699074074074069</v>
      </c>
    </row>
    <row r="173" spans="1:19" hidden="1" x14ac:dyDescent="0.3">
      <c r="A173" s="13" t="str">
        <f>D172</f>
        <v>SINCROANTIOQUIA NADO</v>
      </c>
      <c r="B173" s="87"/>
      <c r="C173" s="86"/>
      <c r="D173" s="87"/>
      <c r="E173" s="89">
        <f>Obligatoria2Cod</f>
        <v>301</v>
      </c>
      <c r="F173" s="101">
        <v>4.2</v>
      </c>
      <c r="G173" s="25">
        <v>3.6</v>
      </c>
      <c r="H173" s="25">
        <v>4.2</v>
      </c>
      <c r="I173" s="25">
        <v>4</v>
      </c>
      <c r="J173" s="25">
        <v>4.8</v>
      </c>
      <c r="K173" s="25" t="str">
        <f t="shared" si="23"/>
        <v/>
      </c>
      <c r="L173" s="25" t="str">
        <f t="shared" si="24"/>
        <v/>
      </c>
      <c r="M173" s="25">
        <f t="shared" si="25"/>
        <v>4.8</v>
      </c>
      <c r="N173" s="25">
        <f t="shared" si="26"/>
        <v>3.6</v>
      </c>
      <c r="O173" s="88">
        <f t="shared" si="27"/>
        <v>4.1333333333333337</v>
      </c>
      <c r="P173" s="139">
        <f>IF(COUNT(F173:L173)&gt;0,O173*Obligatoria2GD,"")</f>
        <v>7.8533333333333335</v>
      </c>
      <c r="Q173" s="145"/>
      <c r="R173" s="142"/>
      <c r="S173" s="107"/>
    </row>
    <row r="174" spans="1:19" hidden="1" x14ac:dyDescent="0.3">
      <c r="A174" s="13" t="str">
        <f>D172</f>
        <v>SINCROANTIOQUIA NADO</v>
      </c>
      <c r="B174" s="87"/>
      <c r="C174" s="86"/>
      <c r="D174" s="87"/>
      <c r="E174" s="89">
        <f>Opcional1Cod</f>
        <v>420</v>
      </c>
      <c r="F174" s="113">
        <v>3</v>
      </c>
      <c r="G174" s="26">
        <v>2.9</v>
      </c>
      <c r="H174" s="26">
        <v>2.5</v>
      </c>
      <c r="I174" s="26">
        <v>3.8</v>
      </c>
      <c r="J174" s="26">
        <v>4.0999999999999996</v>
      </c>
      <c r="K174" s="26" t="str">
        <f t="shared" si="23"/>
        <v/>
      </c>
      <c r="L174" s="26" t="str">
        <f t="shared" si="24"/>
        <v/>
      </c>
      <c r="M174" s="25">
        <f t="shared" si="25"/>
        <v>4.0999999999999996</v>
      </c>
      <c r="N174" s="25">
        <f t="shared" si="26"/>
        <v>2.5</v>
      </c>
      <c r="O174" s="88">
        <f t="shared" si="27"/>
        <v>3.2333333333333325</v>
      </c>
      <c r="P174" s="139">
        <f>IF(COUNT(F174:L174)&gt;0,O174*Opcional1GD,"")</f>
        <v>6.1433333333333318</v>
      </c>
      <c r="Q174" s="145"/>
      <c r="R174" s="142"/>
      <c r="S174" s="107"/>
    </row>
    <row r="175" spans="1:19" hidden="1" x14ac:dyDescent="0.3">
      <c r="A175" s="13" t="str">
        <f>D172</f>
        <v>SINCROANTIOQUIA NADO</v>
      </c>
      <c r="B175" s="108"/>
      <c r="C175" s="109"/>
      <c r="D175" s="108"/>
      <c r="E175" s="89">
        <f>Opcional2Cod</f>
        <v>327</v>
      </c>
      <c r="F175" s="102">
        <v>4.5</v>
      </c>
      <c r="G175" s="99">
        <v>4.5999999999999996</v>
      </c>
      <c r="H175" s="99">
        <v>3.7</v>
      </c>
      <c r="I175" s="99">
        <v>4.0999999999999996</v>
      </c>
      <c r="J175" s="99">
        <v>4.7</v>
      </c>
      <c r="K175" s="99" t="str">
        <f t="shared" si="23"/>
        <v/>
      </c>
      <c r="L175" s="99" t="str">
        <f t="shared" si="24"/>
        <v/>
      </c>
      <c r="M175" s="99">
        <f t="shared" si="25"/>
        <v>4.7</v>
      </c>
      <c r="N175" s="99">
        <f t="shared" si="26"/>
        <v>3.7</v>
      </c>
      <c r="O175" s="110">
        <f t="shared" si="27"/>
        <v>4.3999999999999995</v>
      </c>
      <c r="P175" s="140">
        <f>IF(COUNT(F175:L175)&gt;0,O175*Opcional2GD,"")</f>
        <v>7.919999999999999</v>
      </c>
      <c r="Q175" s="146"/>
      <c r="R175" s="143"/>
      <c r="S175" s="111"/>
    </row>
    <row r="176" spans="1:19" hidden="1" x14ac:dyDescent="0.3">
      <c r="A176" s="13" t="str">
        <f>tblPlanilla[[#This Row],[Club]]</f>
        <v>ESTRELLAS DE ANTIOQUIA</v>
      </c>
      <c r="B176" s="96">
        <v>43</v>
      </c>
      <c r="C176" s="104" t="s">
        <v>170</v>
      </c>
      <c r="D176" s="103" t="s">
        <v>121</v>
      </c>
      <c r="E176" s="89">
        <f>Obligatoria1Cod</f>
        <v>106</v>
      </c>
      <c r="F176" s="112">
        <v>3.3</v>
      </c>
      <c r="G176" s="98">
        <v>3.8</v>
      </c>
      <c r="H176" s="98">
        <v>3.6</v>
      </c>
      <c r="I176" s="98">
        <v>4</v>
      </c>
      <c r="J176" s="98">
        <v>4.4000000000000004</v>
      </c>
      <c r="K176" s="98" t="str">
        <f t="shared" si="23"/>
        <v/>
      </c>
      <c r="L176" s="98" t="str">
        <f t="shared" si="24"/>
        <v/>
      </c>
      <c r="M176" s="97">
        <f t="shared" si="25"/>
        <v>4.4000000000000004</v>
      </c>
      <c r="N176" s="97">
        <f t="shared" si="26"/>
        <v>3.3</v>
      </c>
      <c r="O176" s="105">
        <f t="shared" si="27"/>
        <v>3.8000000000000007</v>
      </c>
      <c r="P176" s="138">
        <f>IF(COUNT(F176:L176)&gt;0,O176*Obligatoria1GD,"")</f>
        <v>6.0800000000000018</v>
      </c>
      <c r="Q176" s="144"/>
      <c r="R176" s="141">
        <f>IF(COUNT(F176:L179)&gt;0,SUM(P176:P179),"")</f>
        <v>26.360000000000003</v>
      </c>
      <c r="S176" s="106">
        <f>IF(COUNT(F176:L179)&gt;0,((R176/TotalGD)*10)-SUM(Q176:Q179),0)</f>
        <v>36.611111111111114</v>
      </c>
    </row>
    <row r="177" spans="1:19" hidden="1" x14ac:dyDescent="0.3">
      <c r="A177" s="13" t="str">
        <f>D176</f>
        <v>ESTRELLAS DE ANTIOQUIA</v>
      </c>
      <c r="B177" s="87"/>
      <c r="C177" s="86"/>
      <c r="D177" s="87"/>
      <c r="E177" s="89">
        <f>Obligatoria2Cod</f>
        <v>301</v>
      </c>
      <c r="F177" s="101">
        <v>3.7</v>
      </c>
      <c r="G177" s="25">
        <v>3.8</v>
      </c>
      <c r="H177" s="25">
        <v>3.7</v>
      </c>
      <c r="I177" s="25">
        <v>3.8</v>
      </c>
      <c r="J177" s="25">
        <v>4.7</v>
      </c>
      <c r="K177" s="25" t="str">
        <f t="shared" si="23"/>
        <v/>
      </c>
      <c r="L177" s="25" t="str">
        <f t="shared" si="24"/>
        <v/>
      </c>
      <c r="M177" s="25">
        <f t="shared" si="25"/>
        <v>4.7</v>
      </c>
      <c r="N177" s="25">
        <f t="shared" si="26"/>
        <v>3.7</v>
      </c>
      <c r="O177" s="88">
        <f t="shared" si="27"/>
        <v>3.7666666666666662</v>
      </c>
      <c r="P177" s="139">
        <f>IF(COUNT(F177:L177)&gt;0,O177*Obligatoria2GD,"")</f>
        <v>7.1566666666666654</v>
      </c>
      <c r="Q177" s="145"/>
      <c r="R177" s="142"/>
      <c r="S177" s="107"/>
    </row>
    <row r="178" spans="1:19" hidden="1" x14ac:dyDescent="0.3">
      <c r="A178" s="13" t="str">
        <f>D176</f>
        <v>ESTRELLAS DE ANTIOQUIA</v>
      </c>
      <c r="B178" s="87"/>
      <c r="C178" s="86"/>
      <c r="D178" s="87"/>
      <c r="E178" s="89">
        <f>Opcional1Cod</f>
        <v>420</v>
      </c>
      <c r="F178" s="113">
        <v>4</v>
      </c>
      <c r="G178" s="26">
        <v>3.6</v>
      </c>
      <c r="H178" s="26">
        <v>3.2</v>
      </c>
      <c r="I178" s="26">
        <v>3.5</v>
      </c>
      <c r="J178" s="26">
        <v>2</v>
      </c>
      <c r="K178" s="26" t="str">
        <f t="shared" si="23"/>
        <v/>
      </c>
      <c r="L178" s="26" t="str">
        <f t="shared" si="24"/>
        <v/>
      </c>
      <c r="M178" s="25">
        <f t="shared" si="25"/>
        <v>4</v>
      </c>
      <c r="N178" s="25">
        <f t="shared" si="26"/>
        <v>2</v>
      </c>
      <c r="O178" s="88">
        <f t="shared" si="27"/>
        <v>3.4333333333333336</v>
      </c>
      <c r="P178" s="139">
        <f>IF(COUNT(F178:L178)&gt;0,O178*Opcional1GD,"")</f>
        <v>6.5233333333333334</v>
      </c>
      <c r="Q178" s="145"/>
      <c r="R178" s="142"/>
      <c r="S178" s="107"/>
    </row>
    <row r="179" spans="1:19" hidden="1" x14ac:dyDescent="0.3">
      <c r="A179" s="13" t="str">
        <f>D176</f>
        <v>ESTRELLAS DE ANTIOQUIA</v>
      </c>
      <c r="B179" s="108"/>
      <c r="C179" s="109"/>
      <c r="D179" s="108"/>
      <c r="E179" s="89">
        <f>Opcional2Cod</f>
        <v>327</v>
      </c>
      <c r="F179" s="102">
        <v>3.6</v>
      </c>
      <c r="G179" s="99">
        <v>4.3</v>
      </c>
      <c r="H179" s="99">
        <v>3.3</v>
      </c>
      <c r="I179" s="99">
        <v>3.8</v>
      </c>
      <c r="J179" s="99">
        <v>3.6</v>
      </c>
      <c r="K179" s="99" t="str">
        <f t="shared" si="23"/>
        <v/>
      </c>
      <c r="L179" s="99" t="str">
        <f t="shared" si="24"/>
        <v/>
      </c>
      <c r="M179" s="99">
        <f t="shared" si="25"/>
        <v>4.3</v>
      </c>
      <c r="N179" s="99">
        <f t="shared" si="26"/>
        <v>3.3</v>
      </c>
      <c r="O179" s="110">
        <f t="shared" si="27"/>
        <v>3.6666666666666674</v>
      </c>
      <c r="P179" s="140">
        <f>IF(COUNT(F179:L179)&gt;0,O179*Opcional2GD,"")</f>
        <v>6.6000000000000014</v>
      </c>
      <c r="Q179" s="146"/>
      <c r="R179" s="143"/>
      <c r="S179" s="111"/>
    </row>
    <row r="180" spans="1:19" hidden="1" x14ac:dyDescent="0.3">
      <c r="A180" s="13" t="str">
        <f>tblPlanilla[[#This Row],[Club]]</f>
        <v>ESTRELLAS DE ANTIOQUIA</v>
      </c>
      <c r="B180" s="96">
        <v>44</v>
      </c>
      <c r="C180" s="104" t="s">
        <v>130</v>
      </c>
      <c r="D180" s="103" t="s">
        <v>121</v>
      </c>
      <c r="E180" s="89">
        <f>Obligatoria1Cod</f>
        <v>106</v>
      </c>
      <c r="F180" s="112">
        <v>5.0999999999999996</v>
      </c>
      <c r="G180" s="98">
        <v>4.4000000000000004</v>
      </c>
      <c r="H180" s="98">
        <v>5.3</v>
      </c>
      <c r="I180" s="98">
        <v>5.7</v>
      </c>
      <c r="J180" s="98">
        <v>5.5</v>
      </c>
      <c r="K180" s="98" t="str">
        <f t="shared" si="23"/>
        <v/>
      </c>
      <c r="L180" s="98" t="str">
        <f t="shared" si="24"/>
        <v/>
      </c>
      <c r="M180" s="97">
        <f t="shared" si="25"/>
        <v>5.7</v>
      </c>
      <c r="N180" s="97">
        <f t="shared" si="26"/>
        <v>4.4000000000000004</v>
      </c>
      <c r="O180" s="105">
        <f t="shared" si="27"/>
        <v>5.3</v>
      </c>
      <c r="P180" s="138">
        <f>IF(COUNT(F180:L180)&gt;0,O180*Obligatoria1GD,"")</f>
        <v>8.48</v>
      </c>
      <c r="Q180" s="144"/>
      <c r="R180" s="141">
        <f>IF(COUNT(F180:L183)&gt;0,SUM(P180:P183),"")</f>
        <v>36.746666666666663</v>
      </c>
      <c r="S180" s="106">
        <f>IF(COUNT(F180:L183)&gt;0,((R180/TotalGD)*10)-SUM(Q180:Q183),0)</f>
        <v>51.037037037037024</v>
      </c>
    </row>
    <row r="181" spans="1:19" hidden="1" x14ac:dyDescent="0.3">
      <c r="A181" s="13" t="str">
        <f>D180</f>
        <v>ESTRELLAS DE ANTIOQUIA</v>
      </c>
      <c r="B181" s="87"/>
      <c r="C181" s="86"/>
      <c r="D181" s="87"/>
      <c r="E181" s="89">
        <f>Obligatoria2Cod</f>
        <v>301</v>
      </c>
      <c r="F181" s="101">
        <v>5.6</v>
      </c>
      <c r="G181" s="25">
        <v>5</v>
      </c>
      <c r="H181" s="25">
        <v>5.3</v>
      </c>
      <c r="I181" s="25">
        <v>5.6</v>
      </c>
      <c r="J181" s="25">
        <v>5.8</v>
      </c>
      <c r="K181" s="25" t="str">
        <f t="shared" si="23"/>
        <v/>
      </c>
      <c r="L181" s="25" t="str">
        <f t="shared" si="24"/>
        <v/>
      </c>
      <c r="M181" s="25">
        <f t="shared" si="25"/>
        <v>5.8</v>
      </c>
      <c r="N181" s="25">
        <f t="shared" si="26"/>
        <v>5</v>
      </c>
      <c r="O181" s="88">
        <f t="shared" si="27"/>
        <v>5.5</v>
      </c>
      <c r="P181" s="139">
        <f>IF(COUNT(F181:L181)&gt;0,O181*Obligatoria2GD,"")</f>
        <v>10.45</v>
      </c>
      <c r="Q181" s="145"/>
      <c r="R181" s="142"/>
      <c r="S181" s="107"/>
    </row>
    <row r="182" spans="1:19" hidden="1" x14ac:dyDescent="0.3">
      <c r="A182" s="13" t="str">
        <f>D180</f>
        <v>ESTRELLAS DE ANTIOQUIA</v>
      </c>
      <c r="B182" s="87"/>
      <c r="C182" s="86"/>
      <c r="D182" s="87"/>
      <c r="E182" s="89">
        <f>Opcional1Cod</f>
        <v>420</v>
      </c>
      <c r="F182" s="113">
        <v>4.8</v>
      </c>
      <c r="G182" s="26">
        <v>4.7</v>
      </c>
      <c r="H182" s="26">
        <v>4.5999999999999996</v>
      </c>
      <c r="I182" s="26">
        <v>4.8</v>
      </c>
      <c r="J182" s="26">
        <v>5</v>
      </c>
      <c r="K182" s="26" t="str">
        <f t="shared" si="23"/>
        <v/>
      </c>
      <c r="L182" s="26" t="str">
        <f t="shared" si="24"/>
        <v/>
      </c>
      <c r="M182" s="25">
        <f t="shared" si="25"/>
        <v>5</v>
      </c>
      <c r="N182" s="25">
        <f t="shared" si="26"/>
        <v>4.5999999999999996</v>
      </c>
      <c r="O182" s="88">
        <f t="shared" si="27"/>
        <v>4.7666666666666666</v>
      </c>
      <c r="P182" s="139">
        <f>IF(COUNT(F182:L182)&gt;0,O182*Opcional1GD,"")</f>
        <v>9.0566666666666666</v>
      </c>
      <c r="Q182" s="145"/>
      <c r="R182" s="142"/>
      <c r="S182" s="107"/>
    </row>
    <row r="183" spans="1:19" hidden="1" x14ac:dyDescent="0.3">
      <c r="A183" s="13" t="str">
        <f>D180</f>
        <v>ESTRELLAS DE ANTIOQUIA</v>
      </c>
      <c r="B183" s="108"/>
      <c r="C183" s="109"/>
      <c r="D183" s="108"/>
      <c r="E183" s="89">
        <f>Opcional2Cod</f>
        <v>327</v>
      </c>
      <c r="F183" s="102">
        <v>4.8</v>
      </c>
      <c r="G183" s="99">
        <v>5.0999999999999996</v>
      </c>
      <c r="H183" s="99">
        <v>4.7</v>
      </c>
      <c r="I183" s="99">
        <v>4.5</v>
      </c>
      <c r="J183" s="99">
        <v>5.3</v>
      </c>
      <c r="K183" s="99" t="str">
        <f t="shared" si="23"/>
        <v/>
      </c>
      <c r="L183" s="99" t="str">
        <f t="shared" si="24"/>
        <v/>
      </c>
      <c r="M183" s="99">
        <f t="shared" si="25"/>
        <v>5.3</v>
      </c>
      <c r="N183" s="99">
        <f t="shared" si="26"/>
        <v>4.5</v>
      </c>
      <c r="O183" s="110">
        <f t="shared" si="27"/>
        <v>4.8666666666666663</v>
      </c>
      <c r="P183" s="140">
        <f>IF(COUNT(F183:L183)&gt;0,O183*Opcional2GD,"")</f>
        <v>8.76</v>
      </c>
      <c r="Q183" s="146"/>
      <c r="R183" s="143"/>
      <c r="S183" s="111"/>
    </row>
    <row r="184" spans="1:19" hidden="1" x14ac:dyDescent="0.3">
      <c r="A184" s="13" t="str">
        <f>tblPlanilla[[#This Row],[Club]]</f>
        <v>SELECCIÃ“N ANTIOQUIA</v>
      </c>
      <c r="B184" s="96">
        <v>45</v>
      </c>
      <c r="C184" s="104" t="s">
        <v>171</v>
      </c>
      <c r="D184" s="103" t="s">
        <v>123</v>
      </c>
      <c r="E184" s="89">
        <f>Obligatoria1Cod</f>
        <v>106</v>
      </c>
      <c r="F184" s="112">
        <v>5.2</v>
      </c>
      <c r="G184" s="98">
        <v>4.2</v>
      </c>
      <c r="H184" s="98">
        <v>5.0999999999999996</v>
      </c>
      <c r="I184" s="98">
        <v>5.6</v>
      </c>
      <c r="J184" s="98">
        <v>5.4</v>
      </c>
      <c r="K184" s="98" t="str">
        <f t="shared" ref="K184:K215" si="28">IF(JuecesPanel&gt;=6,"",IF((JuecesPanel+JuecesCalc)&lt;6,"",IF(COUNT(F184:J184)&gt;0,AVERAGE(F184:J184),"")))</f>
        <v/>
      </c>
      <c r="L184" s="98" t="str">
        <f t="shared" ref="L184:L215" si="29">IF(JuecesPanel&gt;=7,"",IF((JuecesPanel+JuecesCalc)&lt;7,"",IF(COUNT(F184:K184)&gt;0,AVERAGE(F184:K184),"")))</f>
        <v/>
      </c>
      <c r="M184" s="97">
        <f t="shared" si="25"/>
        <v>5.6</v>
      </c>
      <c r="N184" s="97">
        <f t="shared" si="26"/>
        <v>4.2</v>
      </c>
      <c r="O184" s="105">
        <f t="shared" si="27"/>
        <v>5.2333333333333334</v>
      </c>
      <c r="P184" s="138">
        <f>IF(COUNT(F184:L184)&gt;0,O184*Obligatoria1GD,"")</f>
        <v>8.3733333333333331</v>
      </c>
      <c r="Q184" s="144"/>
      <c r="R184" s="141">
        <f>IF(COUNT(F184:L187)&gt;0,SUM(P184:P187),"")</f>
        <v>37.516666666666666</v>
      </c>
      <c r="S184" s="106">
        <f>IF(COUNT(F184:L187)&gt;0,((R184/TotalGD)*10)-SUM(Q184:Q187),0)</f>
        <v>52.106481481481481</v>
      </c>
    </row>
    <row r="185" spans="1:19" hidden="1" x14ac:dyDescent="0.3">
      <c r="A185" s="13" t="str">
        <f>D184</f>
        <v>SELECCIÃ“N ANTIOQUIA</v>
      </c>
      <c r="B185" s="87"/>
      <c r="C185" s="86"/>
      <c r="D185" s="87"/>
      <c r="E185" s="89">
        <f>Obligatoria2Cod</f>
        <v>301</v>
      </c>
      <c r="F185" s="101">
        <v>5</v>
      </c>
      <c r="G185" s="25">
        <v>5.0999999999999996</v>
      </c>
      <c r="H185" s="25">
        <v>5.6</v>
      </c>
      <c r="I185" s="25">
        <v>5.7</v>
      </c>
      <c r="J185" s="25">
        <v>5.5</v>
      </c>
      <c r="K185" s="25" t="str">
        <f t="shared" si="28"/>
        <v/>
      </c>
      <c r="L185" s="25" t="str">
        <f t="shared" si="29"/>
        <v/>
      </c>
      <c r="M185" s="25">
        <f t="shared" si="25"/>
        <v>5.7</v>
      </c>
      <c r="N185" s="25">
        <f t="shared" si="26"/>
        <v>5</v>
      </c>
      <c r="O185" s="88">
        <f t="shared" si="27"/>
        <v>5.3999999999999995</v>
      </c>
      <c r="P185" s="139">
        <f>IF(COUNT(F185:L185)&gt;0,O185*Obligatoria2GD,"")</f>
        <v>10.259999999999998</v>
      </c>
      <c r="Q185" s="145"/>
      <c r="R185" s="142"/>
      <c r="S185" s="107"/>
    </row>
    <row r="186" spans="1:19" hidden="1" x14ac:dyDescent="0.3">
      <c r="A186" s="13" t="str">
        <f>D184</f>
        <v>SELECCIÃ“N ANTIOQUIA</v>
      </c>
      <c r="B186" s="87"/>
      <c r="C186" s="86"/>
      <c r="D186" s="87"/>
      <c r="E186" s="89">
        <f>Opcional1Cod</f>
        <v>420</v>
      </c>
      <c r="F186" s="113">
        <v>4.9000000000000004</v>
      </c>
      <c r="G186" s="26">
        <v>4.5</v>
      </c>
      <c r="H186" s="26">
        <v>5.3</v>
      </c>
      <c r="I186" s="26">
        <v>5.5</v>
      </c>
      <c r="J186" s="26">
        <v>5.5</v>
      </c>
      <c r="K186" s="26" t="str">
        <f t="shared" si="28"/>
        <v/>
      </c>
      <c r="L186" s="26" t="str">
        <f t="shared" si="29"/>
        <v/>
      </c>
      <c r="M186" s="25">
        <f t="shared" si="25"/>
        <v>5.5</v>
      </c>
      <c r="N186" s="25">
        <f t="shared" si="26"/>
        <v>4.5</v>
      </c>
      <c r="O186" s="88">
        <f t="shared" si="27"/>
        <v>5.2333333333333334</v>
      </c>
      <c r="P186" s="139">
        <f>IF(COUNT(F186:L186)&gt;0,O186*Opcional1GD,"")</f>
        <v>9.9433333333333334</v>
      </c>
      <c r="Q186" s="145"/>
      <c r="R186" s="142"/>
      <c r="S186" s="107"/>
    </row>
    <row r="187" spans="1:19" hidden="1" x14ac:dyDescent="0.3">
      <c r="A187" s="13" t="str">
        <f>D184</f>
        <v>SELECCIÃ“N ANTIOQUIA</v>
      </c>
      <c r="B187" s="108"/>
      <c r="C187" s="109"/>
      <c r="D187" s="108"/>
      <c r="E187" s="89">
        <f>Opcional2Cod</f>
        <v>327</v>
      </c>
      <c r="F187" s="102">
        <v>5.0999999999999996</v>
      </c>
      <c r="G187" s="99">
        <v>5</v>
      </c>
      <c r="H187" s="99">
        <v>5.5</v>
      </c>
      <c r="I187" s="99">
        <v>4.8</v>
      </c>
      <c r="J187" s="99">
        <v>4.7</v>
      </c>
      <c r="K187" s="99" t="str">
        <f t="shared" si="28"/>
        <v/>
      </c>
      <c r="L187" s="99" t="str">
        <f t="shared" si="29"/>
        <v/>
      </c>
      <c r="M187" s="99">
        <f t="shared" si="25"/>
        <v>5.5</v>
      </c>
      <c r="N187" s="99">
        <f t="shared" si="26"/>
        <v>4.7</v>
      </c>
      <c r="O187" s="110">
        <f t="shared" si="27"/>
        <v>4.9666666666666659</v>
      </c>
      <c r="P187" s="140">
        <f>IF(COUNT(F187:L187)&gt;0,O187*Opcional2GD,"")</f>
        <v>8.94</v>
      </c>
      <c r="Q187" s="146"/>
      <c r="R187" s="143"/>
      <c r="S187" s="111"/>
    </row>
    <row r="188" spans="1:19" hidden="1" x14ac:dyDescent="0.3">
      <c r="A188" s="13" t="str">
        <f>tblPlanilla[[#This Row],[Club]]</f>
        <v>ESTRELLAS DE ANTIOQUIA</v>
      </c>
      <c r="B188" s="96">
        <v>46</v>
      </c>
      <c r="C188" s="104" t="s">
        <v>172</v>
      </c>
      <c r="D188" s="103" t="s">
        <v>121</v>
      </c>
      <c r="E188" s="89">
        <f>Obligatoria1Cod</f>
        <v>106</v>
      </c>
      <c r="F188" s="112">
        <v>5</v>
      </c>
      <c r="G188" s="98">
        <v>5.0999999999999996</v>
      </c>
      <c r="H188" s="98">
        <v>4.9000000000000004</v>
      </c>
      <c r="I188" s="98">
        <v>5.5</v>
      </c>
      <c r="J188" s="98">
        <v>5</v>
      </c>
      <c r="K188" s="98" t="str">
        <f t="shared" si="28"/>
        <v/>
      </c>
      <c r="L188" s="98" t="str">
        <f t="shared" si="29"/>
        <v/>
      </c>
      <c r="M188" s="97">
        <f t="shared" si="25"/>
        <v>5.5</v>
      </c>
      <c r="N188" s="97">
        <f t="shared" si="26"/>
        <v>4.9000000000000004</v>
      </c>
      <c r="O188" s="105">
        <f t="shared" si="27"/>
        <v>5.0333333333333332</v>
      </c>
      <c r="P188" s="138">
        <f>IF(COUNT(F188:L188)&gt;0,O188*Obligatoria1GD,"")</f>
        <v>8.0533333333333328</v>
      </c>
      <c r="Q188" s="144"/>
      <c r="R188" s="141">
        <f>IF(COUNT(F188:L191)&gt;0,SUM(P188:P191),"")</f>
        <v>34.936666666666667</v>
      </c>
      <c r="S188" s="106">
        <f>IF(COUNT(F188:L191)&gt;0,((R188/TotalGD)*10)-SUM(Q188:Q191),0)</f>
        <v>48.523148148148145</v>
      </c>
    </row>
    <row r="189" spans="1:19" hidden="1" x14ac:dyDescent="0.3">
      <c r="A189" s="13" t="str">
        <f>D188</f>
        <v>ESTRELLAS DE ANTIOQUIA</v>
      </c>
      <c r="B189" s="87"/>
      <c r="C189" s="86"/>
      <c r="D189" s="87"/>
      <c r="E189" s="89">
        <f>Obligatoria2Cod</f>
        <v>301</v>
      </c>
      <c r="F189" s="101">
        <v>4.9000000000000004</v>
      </c>
      <c r="G189" s="25">
        <v>4.3</v>
      </c>
      <c r="H189" s="25">
        <v>5.5</v>
      </c>
      <c r="I189" s="25">
        <v>4.7</v>
      </c>
      <c r="J189" s="25">
        <v>5.6</v>
      </c>
      <c r="K189" s="25" t="str">
        <f t="shared" si="28"/>
        <v/>
      </c>
      <c r="L189" s="25" t="str">
        <f t="shared" si="29"/>
        <v/>
      </c>
      <c r="M189" s="25">
        <f t="shared" si="25"/>
        <v>5.6</v>
      </c>
      <c r="N189" s="25">
        <f t="shared" si="26"/>
        <v>4.3</v>
      </c>
      <c r="O189" s="88">
        <f t="shared" si="27"/>
        <v>5.0333333333333341</v>
      </c>
      <c r="P189" s="139">
        <f>IF(COUNT(F189:L189)&gt;0,O189*Obligatoria2GD,"")</f>
        <v>9.5633333333333344</v>
      </c>
      <c r="Q189" s="145"/>
      <c r="R189" s="142"/>
      <c r="S189" s="107"/>
    </row>
    <row r="190" spans="1:19" hidden="1" x14ac:dyDescent="0.3">
      <c r="A190" s="13" t="str">
        <f>D188</f>
        <v>ESTRELLAS DE ANTIOQUIA</v>
      </c>
      <c r="B190" s="87"/>
      <c r="C190" s="86"/>
      <c r="D190" s="87"/>
      <c r="E190" s="89">
        <f>Opcional1Cod</f>
        <v>420</v>
      </c>
      <c r="F190" s="113">
        <v>4.4000000000000004</v>
      </c>
      <c r="G190" s="26">
        <v>4.8</v>
      </c>
      <c r="H190" s="26">
        <v>4.3</v>
      </c>
      <c r="I190" s="26">
        <v>4.7</v>
      </c>
      <c r="J190" s="26">
        <v>4.7</v>
      </c>
      <c r="K190" s="26" t="str">
        <f t="shared" si="28"/>
        <v/>
      </c>
      <c r="L190" s="26" t="str">
        <f t="shared" si="29"/>
        <v/>
      </c>
      <c r="M190" s="25">
        <f t="shared" si="25"/>
        <v>4.8</v>
      </c>
      <c r="N190" s="25">
        <f t="shared" si="26"/>
        <v>4.3</v>
      </c>
      <c r="O190" s="88">
        <f t="shared" si="27"/>
        <v>4.5999999999999996</v>
      </c>
      <c r="P190" s="139">
        <f>IF(COUNT(F190:L190)&gt;0,O190*Opcional1GD,"")</f>
        <v>8.7399999999999984</v>
      </c>
      <c r="Q190" s="145"/>
      <c r="R190" s="142"/>
      <c r="S190" s="107"/>
    </row>
    <row r="191" spans="1:19" hidden="1" x14ac:dyDescent="0.3">
      <c r="A191" s="13" t="str">
        <f>D188</f>
        <v>ESTRELLAS DE ANTIOQUIA</v>
      </c>
      <c r="B191" s="108"/>
      <c r="C191" s="109"/>
      <c r="D191" s="108"/>
      <c r="E191" s="89">
        <f>Opcional2Cod</f>
        <v>327</v>
      </c>
      <c r="F191" s="102">
        <v>4.7</v>
      </c>
      <c r="G191" s="99">
        <v>4.8</v>
      </c>
      <c r="H191" s="99">
        <v>4.7</v>
      </c>
      <c r="I191" s="99">
        <v>4.8</v>
      </c>
      <c r="J191" s="99">
        <v>5.0999999999999996</v>
      </c>
      <c r="K191" s="99" t="str">
        <f t="shared" si="28"/>
        <v/>
      </c>
      <c r="L191" s="99" t="str">
        <f t="shared" si="29"/>
        <v/>
      </c>
      <c r="M191" s="99">
        <f t="shared" si="25"/>
        <v>5.0999999999999996</v>
      </c>
      <c r="N191" s="99">
        <f t="shared" si="26"/>
        <v>4.7</v>
      </c>
      <c r="O191" s="110">
        <f t="shared" si="27"/>
        <v>4.7666666666666666</v>
      </c>
      <c r="P191" s="140">
        <f>IF(COUNT(F191:L191)&gt;0,O191*Opcional2GD,"")</f>
        <v>8.58</v>
      </c>
      <c r="Q191" s="146"/>
      <c r="R191" s="143"/>
      <c r="S191" s="111"/>
    </row>
    <row r="192" spans="1:19" hidden="1" x14ac:dyDescent="0.3">
      <c r="A192" s="13" t="str">
        <f>tblPlanilla[[#This Row],[Club]]</f>
        <v>TRANSFERENCIA</v>
      </c>
      <c r="B192" s="96">
        <v>47</v>
      </c>
      <c r="C192" s="104" t="s">
        <v>173</v>
      </c>
      <c r="D192" s="103" t="s">
        <v>124</v>
      </c>
      <c r="E192" s="89">
        <f>Obligatoria1Cod</f>
        <v>106</v>
      </c>
      <c r="F192" s="112">
        <v>5.0999999999999996</v>
      </c>
      <c r="G192" s="98">
        <v>4.9000000000000004</v>
      </c>
      <c r="H192" s="98">
        <v>4.7</v>
      </c>
      <c r="I192" s="98">
        <v>5.0999999999999996</v>
      </c>
      <c r="J192" s="98">
        <v>5</v>
      </c>
      <c r="K192" s="98" t="str">
        <f t="shared" si="28"/>
        <v/>
      </c>
      <c r="L192" s="98" t="str">
        <f t="shared" si="29"/>
        <v/>
      </c>
      <c r="M192" s="97">
        <f t="shared" si="25"/>
        <v>5.0999999999999996</v>
      </c>
      <c r="N192" s="97">
        <f t="shared" si="26"/>
        <v>4.7</v>
      </c>
      <c r="O192" s="105">
        <f t="shared" si="27"/>
        <v>4.9999999999999991</v>
      </c>
      <c r="P192" s="138">
        <f>IF(COUNT(F192:L192)&gt;0,O192*Obligatoria1GD,"")</f>
        <v>7.9999999999999991</v>
      </c>
      <c r="Q192" s="144"/>
      <c r="R192" s="141">
        <f>IF(COUNT(F192:L195)&gt;0,SUM(P192:P195),"")</f>
        <v>34.743333333333332</v>
      </c>
      <c r="S192" s="106">
        <f>IF(COUNT(F192:L195)&gt;0,((R192/TotalGD)*10)-SUM(Q192:Q195),0)</f>
        <v>48.254629629629626</v>
      </c>
    </row>
    <row r="193" spans="1:19" hidden="1" x14ac:dyDescent="0.3">
      <c r="A193" s="13" t="str">
        <f>D192</f>
        <v>TRANSFERENCIA</v>
      </c>
      <c r="B193" s="87"/>
      <c r="C193" s="86"/>
      <c r="D193" s="87"/>
      <c r="E193" s="89">
        <f>Obligatoria2Cod</f>
        <v>301</v>
      </c>
      <c r="F193" s="101">
        <v>5</v>
      </c>
      <c r="G193" s="25">
        <v>4.5</v>
      </c>
      <c r="H193" s="25">
        <v>5.0999999999999996</v>
      </c>
      <c r="I193" s="25">
        <v>5.0999999999999996</v>
      </c>
      <c r="J193" s="25">
        <v>5</v>
      </c>
      <c r="K193" s="25" t="str">
        <f t="shared" si="28"/>
        <v/>
      </c>
      <c r="L193" s="25" t="str">
        <f t="shared" si="29"/>
        <v/>
      </c>
      <c r="M193" s="25">
        <f t="shared" si="25"/>
        <v>5.0999999999999996</v>
      </c>
      <c r="N193" s="25">
        <f t="shared" si="26"/>
        <v>4.5</v>
      </c>
      <c r="O193" s="88">
        <f t="shared" si="27"/>
        <v>5.0333333333333332</v>
      </c>
      <c r="P193" s="139">
        <f>IF(COUNT(F193:L193)&gt;0,O193*Obligatoria2GD,"")</f>
        <v>9.5633333333333326</v>
      </c>
      <c r="Q193" s="145"/>
      <c r="R193" s="142"/>
      <c r="S193" s="107"/>
    </row>
    <row r="194" spans="1:19" hidden="1" x14ac:dyDescent="0.3">
      <c r="A194" s="13" t="str">
        <f>D192</f>
        <v>TRANSFERENCIA</v>
      </c>
      <c r="B194" s="87"/>
      <c r="C194" s="86"/>
      <c r="D194" s="87"/>
      <c r="E194" s="89">
        <f>Opcional1Cod</f>
        <v>420</v>
      </c>
      <c r="F194" s="113">
        <v>4.0999999999999996</v>
      </c>
      <c r="G194" s="26">
        <v>4.7</v>
      </c>
      <c r="H194" s="26">
        <v>4.0999999999999996</v>
      </c>
      <c r="I194" s="26">
        <v>4.5999999999999996</v>
      </c>
      <c r="J194" s="26">
        <v>4.5</v>
      </c>
      <c r="K194" s="26" t="str">
        <f t="shared" si="28"/>
        <v/>
      </c>
      <c r="L194" s="26" t="str">
        <f t="shared" si="29"/>
        <v/>
      </c>
      <c r="M194" s="25">
        <f t="shared" si="25"/>
        <v>4.7</v>
      </c>
      <c r="N194" s="25">
        <f t="shared" si="26"/>
        <v>4.0999999999999996</v>
      </c>
      <c r="O194" s="88">
        <f t="shared" si="27"/>
        <v>4.3999999999999995</v>
      </c>
      <c r="P194" s="139">
        <f>IF(COUNT(F194:L194)&gt;0,O194*Opcional1GD,"")</f>
        <v>8.36</v>
      </c>
      <c r="Q194" s="145"/>
      <c r="R194" s="142"/>
      <c r="S194" s="107"/>
    </row>
    <row r="195" spans="1:19" hidden="1" x14ac:dyDescent="0.3">
      <c r="A195" s="13" t="str">
        <f>D192</f>
        <v>TRANSFERENCIA</v>
      </c>
      <c r="B195" s="108"/>
      <c r="C195" s="109"/>
      <c r="D195" s="108"/>
      <c r="E195" s="89">
        <f>Opcional2Cod</f>
        <v>327</v>
      </c>
      <c r="F195" s="102">
        <v>4.2</v>
      </c>
      <c r="G195" s="99">
        <v>5</v>
      </c>
      <c r="H195" s="99">
        <v>5.0999999999999996</v>
      </c>
      <c r="I195" s="99">
        <v>4.8</v>
      </c>
      <c r="J195" s="99">
        <v>4.9000000000000004</v>
      </c>
      <c r="K195" s="99" t="str">
        <f t="shared" si="28"/>
        <v/>
      </c>
      <c r="L195" s="99" t="str">
        <f t="shared" si="29"/>
        <v/>
      </c>
      <c r="M195" s="99">
        <f t="shared" si="25"/>
        <v>5.0999999999999996</v>
      </c>
      <c r="N195" s="99">
        <f t="shared" si="26"/>
        <v>4.2</v>
      </c>
      <c r="O195" s="110">
        <f t="shared" si="27"/>
        <v>4.8999999999999995</v>
      </c>
      <c r="P195" s="140">
        <f>IF(COUNT(F195:L195)&gt;0,O195*Opcional2GD,"")</f>
        <v>8.8199999999999985</v>
      </c>
      <c r="Q195" s="146"/>
      <c r="R195" s="143"/>
      <c r="S195" s="111"/>
    </row>
    <row r="196" spans="1:19" x14ac:dyDescent="0.3"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</row>
  </sheetData>
  <autoFilter ref="A7:A195" xr:uid="{DCC4BDBA-F30E-486C-8765-F6610BC734C1}">
    <filterColumn colId="0">
      <filters>
        <filter val="AQUASWIM"/>
      </filters>
    </filterColumn>
  </autoFilter>
  <mergeCells count="6">
    <mergeCell ref="R6:S6"/>
    <mergeCell ref="B4:G4"/>
    <mergeCell ref="B1:G1"/>
    <mergeCell ref="B2:G2"/>
    <mergeCell ref="B3:G3"/>
    <mergeCell ref="F6:L6"/>
  </mergeCells>
  <phoneticPr fontId="25" type="noConversion"/>
  <conditionalFormatting sqref="B8:S196">
    <cfRule type="expression" dxfId="0" priority="2">
      <formula>"BUSCARV($B$8;tblDeportistas[[Deportista]:[Compite]];4;0)&gt;0"</formula>
    </cfRule>
  </conditionalFormatting>
  <printOptions horizontalCentered="1"/>
  <pageMargins left="0.15748031496062992" right="0.15748031496062992" top="0.46" bottom="0.87" header="0.31496062992125984" footer="0.31496062992125984"/>
  <pageSetup scale="91" fitToHeight="0" orientation="portrait" errors="NA" r:id="rId1"/>
  <headerFooter>
    <oddFooter>&amp;L[&amp;A]&amp;RPágina &amp;P de &amp;N</oddFooter>
  </headerFooter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77C2-11EB-4A1F-8AC7-BA642DAA1497}">
  <sheetPr codeName="Hoja3">
    <pageSetUpPr fitToPage="1"/>
  </sheetPr>
  <dimension ref="A1:XFC54"/>
  <sheetViews>
    <sheetView showGridLines="0" zoomScale="90" zoomScaleNormal="90" workbookViewId="0">
      <selection activeCell="A5" sqref="A5"/>
    </sheetView>
  </sheetViews>
  <sheetFormatPr baseColWidth="10" defaultColWidth="0" defaultRowHeight="14.4" x14ac:dyDescent="0.3"/>
  <cols>
    <col min="1" max="1" width="7" style="130" customWidth="1"/>
    <col min="2" max="2" width="35" style="131" customWidth="1"/>
    <col min="3" max="3" width="25" style="124" customWidth="1"/>
    <col min="4" max="4" width="16.77734375" style="130" hidden="1" customWidth="1"/>
    <col min="5" max="5" width="9.5546875" style="130" customWidth="1"/>
    <col min="6" max="6" width="11" style="130" customWidth="1"/>
    <col min="7" max="7" width="2.109375" style="13" customWidth="1"/>
    <col min="8" max="8" width="10.44140625" style="13" hidden="1"/>
    <col min="9" max="9" width="3.44140625" style="13" hidden="1"/>
    <col min="10" max="16383" width="15.109375" style="13" hidden="1"/>
    <col min="16384" max="16384" width="0.109375" style="13" hidden="1"/>
  </cols>
  <sheetData>
    <row r="1" spans="1:8" ht="15.75" customHeight="1" x14ac:dyDescent="0.3">
      <c r="A1" s="241" t="str">
        <f>HeadLin1</f>
        <v>Liga de Natación de Antioquia</v>
      </c>
      <c r="B1" s="241"/>
      <c r="C1" s="241"/>
      <c r="D1" s="241"/>
      <c r="E1" s="127"/>
      <c r="F1" s="127"/>
    </row>
    <row r="2" spans="1:8" ht="15.75" customHeight="1" x14ac:dyDescent="0.3">
      <c r="A2" s="241" t="str">
        <f>HeadLin2</f>
        <v>Festival infantil departamental Fase I</v>
      </c>
      <c r="B2" s="241"/>
      <c r="C2" s="241"/>
      <c r="D2" s="241"/>
      <c r="E2" s="127"/>
      <c r="F2" s="127"/>
    </row>
    <row r="3" spans="1:8" ht="15.75" customHeight="1" x14ac:dyDescent="0.3">
      <c r="A3" s="241" t="str">
        <f>HeadLin3</f>
        <v>Figuras - Categoría Infantil</v>
      </c>
      <c r="B3" s="241"/>
      <c r="C3" s="241"/>
      <c r="D3" s="241"/>
      <c r="E3" s="127"/>
      <c r="F3" s="127"/>
    </row>
    <row r="4" spans="1:8" ht="15.75" customHeight="1" x14ac:dyDescent="0.3">
      <c r="A4" s="241" t="str">
        <f>HeadLin4</f>
        <v>Abril 23 de 2022</v>
      </c>
      <c r="B4" s="241"/>
      <c r="C4" s="241"/>
      <c r="D4" s="241"/>
      <c r="E4" s="128"/>
      <c r="F4" s="128"/>
    </row>
    <row r="5" spans="1:8" s="129" customFormat="1" ht="11.25" customHeight="1" x14ac:dyDescent="0.3">
      <c r="A5" s="132"/>
      <c r="B5" s="132"/>
      <c r="C5" s="132"/>
      <c r="D5" s="132"/>
      <c r="E5" s="133"/>
      <c r="F5" s="133"/>
    </row>
    <row r="6" spans="1:8" s="129" customFormat="1" ht="15.6" x14ac:dyDescent="0.3">
      <c r="A6" s="242" t="s">
        <v>35</v>
      </c>
      <c r="B6" s="242"/>
      <c r="C6" s="242"/>
      <c r="D6" s="242"/>
      <c r="E6" s="242"/>
      <c r="F6" s="242"/>
    </row>
    <row r="7" spans="1:8" ht="30" customHeight="1" x14ac:dyDescent="0.3">
      <c r="A7" s="28" t="s">
        <v>36</v>
      </c>
      <c r="B7" s="29" t="s">
        <v>6</v>
      </c>
      <c r="C7" s="29" t="s">
        <v>7</v>
      </c>
      <c r="D7" s="29" t="s">
        <v>31</v>
      </c>
      <c r="E7" s="28" t="s">
        <v>38</v>
      </c>
      <c r="F7" s="28" t="s">
        <v>37</v>
      </c>
      <c r="G7" s="135"/>
    </row>
    <row r="8" spans="1:8" x14ac:dyDescent="0.3">
      <c r="A8" s="30">
        <v>18</v>
      </c>
      <c r="B8" s="31" t="s">
        <v>152</v>
      </c>
      <c r="C8" s="31" t="s">
        <v>121</v>
      </c>
      <c r="D8" s="126"/>
      <c r="E8" s="32">
        <f>_xlfn.XLOOKUP(tblPosiciones[[#This Row],[Deportista]],tblPlanilla[Deportista],tblPlanilla[TOTAL])</f>
        <v>53.995370370370367</v>
      </c>
      <c r="F8" s="33">
        <v>1</v>
      </c>
      <c r="G8" s="134"/>
    </row>
    <row r="9" spans="1:8" x14ac:dyDescent="0.3">
      <c r="A9" s="30">
        <v>6</v>
      </c>
      <c r="B9" s="31" t="s">
        <v>140</v>
      </c>
      <c r="C9" s="31" t="s">
        <v>123</v>
      </c>
      <c r="D9" s="126"/>
      <c r="E9" s="32">
        <f>_xlfn.XLOOKUP(tblPosiciones[[#This Row],[Deportista]],tblPlanilla[Deportista],tblPlanilla[TOTAL])</f>
        <v>53.875</v>
      </c>
      <c r="F9" s="33">
        <v>2</v>
      </c>
      <c r="G9" s="134"/>
    </row>
    <row r="10" spans="1:8" x14ac:dyDescent="0.3">
      <c r="A10" s="30">
        <v>30</v>
      </c>
      <c r="B10" s="31" t="s">
        <v>160</v>
      </c>
      <c r="C10" s="31" t="s">
        <v>123</v>
      </c>
      <c r="D10" s="126"/>
      <c r="E10" s="32">
        <f>_xlfn.XLOOKUP(tblPosiciones[[#This Row],[Deportista]],tblPlanilla[Deportista],tblPlanilla[TOTAL])</f>
        <v>53.356481481481488</v>
      </c>
      <c r="F10" s="33">
        <v>3</v>
      </c>
      <c r="G10" s="134"/>
    </row>
    <row r="11" spans="1:8" x14ac:dyDescent="0.3">
      <c r="A11" s="30">
        <v>8</v>
      </c>
      <c r="B11" s="31" t="s">
        <v>142</v>
      </c>
      <c r="C11" s="31" t="s">
        <v>123</v>
      </c>
      <c r="D11" s="126"/>
      <c r="E11" s="32">
        <f>_xlfn.XLOOKUP(tblPosiciones[[#This Row],[Deportista]],tblPlanilla[Deportista],tblPlanilla[TOTAL])</f>
        <v>53.277777777777786</v>
      </c>
      <c r="F11" s="33">
        <v>4</v>
      </c>
      <c r="G11" s="134"/>
    </row>
    <row r="12" spans="1:8" x14ac:dyDescent="0.3">
      <c r="A12" s="30">
        <v>9</v>
      </c>
      <c r="B12" s="31" t="s">
        <v>143</v>
      </c>
      <c r="C12" s="31" t="s">
        <v>123</v>
      </c>
      <c r="D12" s="126"/>
      <c r="E12" s="32">
        <f>_xlfn.XLOOKUP(tblPosiciones[[#This Row],[Deportista]],tblPlanilla[Deportista],tblPlanilla[TOTAL])</f>
        <v>52.180555555555543</v>
      </c>
      <c r="F12" s="33">
        <v>5</v>
      </c>
      <c r="G12" s="134"/>
    </row>
    <row r="13" spans="1:8" x14ac:dyDescent="0.3">
      <c r="A13" s="30">
        <v>45</v>
      </c>
      <c r="B13" s="31" t="s">
        <v>171</v>
      </c>
      <c r="C13" s="31" t="s">
        <v>123</v>
      </c>
      <c r="D13" s="126"/>
      <c r="E13" s="32">
        <f>_xlfn.XLOOKUP(tblPosiciones[[#This Row],[Deportista]],tblPlanilla[Deportista],tblPlanilla[TOTAL])</f>
        <v>52.106481481481481</v>
      </c>
      <c r="F13" s="33">
        <v>6</v>
      </c>
      <c r="G13" s="134"/>
    </row>
    <row r="14" spans="1:8" x14ac:dyDescent="0.3">
      <c r="A14" s="30">
        <v>28</v>
      </c>
      <c r="B14" s="31" t="s">
        <v>158</v>
      </c>
      <c r="C14" s="31" t="s">
        <v>123</v>
      </c>
      <c r="D14" s="126"/>
      <c r="E14" s="32">
        <f>_xlfn.XLOOKUP(tblPosiciones[[#This Row],[Deportista]],tblPlanilla[Deportista],tblPlanilla[TOTAL])</f>
        <v>51.703703703703702</v>
      </c>
      <c r="F14" s="33">
        <v>7</v>
      </c>
      <c r="G14" s="134"/>
    </row>
    <row r="15" spans="1:8" x14ac:dyDescent="0.3">
      <c r="A15" s="30">
        <v>37</v>
      </c>
      <c r="B15" s="31" t="s">
        <v>165</v>
      </c>
      <c r="C15" s="31" t="s">
        <v>123</v>
      </c>
      <c r="D15" s="126"/>
      <c r="E15" s="32">
        <f>_xlfn.XLOOKUP(tblPosiciones[[#This Row],[Deportista]],tblPlanilla[Deportista],tblPlanilla[TOTAL])</f>
        <v>51.138888888888886</v>
      </c>
      <c r="F15" s="33">
        <v>8</v>
      </c>
      <c r="H15" s="134"/>
    </row>
    <row r="16" spans="1:8" x14ac:dyDescent="0.3">
      <c r="A16" s="30">
        <v>44</v>
      </c>
      <c r="B16" s="31" t="s">
        <v>130</v>
      </c>
      <c r="C16" s="31" t="s">
        <v>121</v>
      </c>
      <c r="D16" s="126"/>
      <c r="E16" s="32">
        <f>_xlfn.XLOOKUP(tblPosiciones[[#This Row],[Deportista]],tblPlanilla[Deportista],tblPlanilla[TOTAL])</f>
        <v>51.037037037037024</v>
      </c>
      <c r="F16" s="33">
        <v>9</v>
      </c>
      <c r="H16" s="134"/>
    </row>
    <row r="17" spans="1:8" x14ac:dyDescent="0.3">
      <c r="A17" s="30">
        <v>35</v>
      </c>
      <c r="B17" s="31" t="s">
        <v>163</v>
      </c>
      <c r="C17" s="31" t="s">
        <v>123</v>
      </c>
      <c r="D17" s="126"/>
      <c r="E17" s="32">
        <f>_xlfn.XLOOKUP(tblPosiciones[[#This Row],[Deportista]],tblPlanilla[Deportista],tblPlanilla[TOTAL])</f>
        <v>50.592592592592581</v>
      </c>
      <c r="F17" s="33">
        <v>10</v>
      </c>
      <c r="H17" s="134"/>
    </row>
    <row r="18" spans="1:8" x14ac:dyDescent="0.3">
      <c r="A18" s="30">
        <v>17</v>
      </c>
      <c r="B18" s="31" t="s">
        <v>151</v>
      </c>
      <c r="C18" s="31" t="s">
        <v>123</v>
      </c>
      <c r="D18" s="126"/>
      <c r="E18" s="32">
        <f>_xlfn.XLOOKUP(tblPosiciones[[#This Row],[Deportista]],tblPlanilla[Deportista],tblPlanilla[TOTAL])</f>
        <v>50.337962962962955</v>
      </c>
      <c r="F18" s="33">
        <v>11</v>
      </c>
      <c r="H18" s="134"/>
    </row>
    <row r="19" spans="1:8" x14ac:dyDescent="0.3">
      <c r="A19" s="30">
        <v>33</v>
      </c>
      <c r="B19" s="31" t="s">
        <v>129</v>
      </c>
      <c r="C19" s="31" t="s">
        <v>123</v>
      </c>
      <c r="D19" s="126"/>
      <c r="E19" s="32">
        <f>_xlfn.XLOOKUP(tblPosiciones[[#This Row],[Deportista]],tblPlanilla[Deportista],tblPlanilla[TOTAL])</f>
        <v>50.324074074074062</v>
      </c>
      <c r="F19" s="33">
        <v>12</v>
      </c>
      <c r="H19" s="134"/>
    </row>
    <row r="20" spans="1:8" x14ac:dyDescent="0.3">
      <c r="A20" s="30">
        <v>25</v>
      </c>
      <c r="B20" s="31" t="s">
        <v>127</v>
      </c>
      <c r="C20" s="31" t="s">
        <v>123</v>
      </c>
      <c r="D20" s="126"/>
      <c r="E20" s="32">
        <f>_xlfn.XLOOKUP(tblPosiciones[[#This Row],[Deportista]],tblPlanilla[Deportista],tblPlanilla[TOTAL])</f>
        <v>50.134259259259267</v>
      </c>
      <c r="F20" s="33">
        <v>13</v>
      </c>
      <c r="H20" s="134"/>
    </row>
    <row r="21" spans="1:8" x14ac:dyDescent="0.3">
      <c r="A21" s="30">
        <v>14</v>
      </c>
      <c r="B21" s="31" t="s">
        <v>148</v>
      </c>
      <c r="C21" s="31" t="s">
        <v>122</v>
      </c>
      <c r="D21" s="126"/>
      <c r="E21" s="32">
        <f>_xlfn.XLOOKUP(tblPosiciones[[#This Row],[Deportista]],tblPlanilla[Deportista],tblPlanilla[TOTAL])</f>
        <v>49.972222222222214</v>
      </c>
      <c r="F21" s="33">
        <v>14</v>
      </c>
      <c r="H21" s="134"/>
    </row>
    <row r="22" spans="1:8" x14ac:dyDescent="0.3">
      <c r="A22" s="30">
        <v>24</v>
      </c>
      <c r="B22" s="31" t="s">
        <v>156</v>
      </c>
      <c r="C22" s="31" t="s">
        <v>121</v>
      </c>
      <c r="D22" s="126"/>
      <c r="E22" s="32">
        <f>_xlfn.XLOOKUP(tblPosiciones[[#This Row],[Deportista]],tblPlanilla[Deportista],tblPlanilla[TOTAL])</f>
        <v>48.874999999999993</v>
      </c>
      <c r="F22" s="33">
        <v>15</v>
      </c>
      <c r="H22" s="134"/>
    </row>
    <row r="23" spans="1:8" x14ac:dyDescent="0.3">
      <c r="A23" s="30">
        <v>15</v>
      </c>
      <c r="B23" s="31" t="s">
        <v>149</v>
      </c>
      <c r="C23" s="31" t="s">
        <v>124</v>
      </c>
      <c r="D23" s="126"/>
      <c r="E23" s="32">
        <f>_xlfn.XLOOKUP(tblPosiciones[[#This Row],[Deportista]],tblPlanilla[Deportista],tblPlanilla[TOTAL])</f>
        <v>48.592592592592595</v>
      </c>
      <c r="F23" s="33">
        <v>16</v>
      </c>
      <c r="H23" s="134"/>
    </row>
    <row r="24" spans="1:8" x14ac:dyDescent="0.3">
      <c r="A24" s="30">
        <v>46</v>
      </c>
      <c r="B24" s="31" t="s">
        <v>172</v>
      </c>
      <c r="C24" s="31" t="s">
        <v>121</v>
      </c>
      <c r="D24" s="126"/>
      <c r="E24" s="32">
        <f>_xlfn.XLOOKUP(tblPosiciones[[#This Row],[Deportista]],tblPlanilla[Deportista],tblPlanilla[TOTAL])</f>
        <v>48.523148148148145</v>
      </c>
      <c r="F24" s="33">
        <v>17</v>
      </c>
      <c r="H24" s="134"/>
    </row>
    <row r="25" spans="1:8" x14ac:dyDescent="0.3">
      <c r="A25" s="30">
        <v>47</v>
      </c>
      <c r="B25" s="31" t="s">
        <v>173</v>
      </c>
      <c r="C25" s="31" t="s">
        <v>124</v>
      </c>
      <c r="D25" s="126"/>
      <c r="E25" s="32">
        <f>_xlfn.XLOOKUP(tblPosiciones[[#This Row],[Deportista]],tblPlanilla[Deportista],tblPlanilla[TOTAL])</f>
        <v>48.254629629629626</v>
      </c>
      <c r="F25" s="33">
        <v>18</v>
      </c>
      <c r="H25" s="134"/>
    </row>
    <row r="26" spans="1:8" x14ac:dyDescent="0.3">
      <c r="A26" s="30">
        <v>31</v>
      </c>
      <c r="B26" s="31" t="s">
        <v>161</v>
      </c>
      <c r="C26" s="31" t="s">
        <v>121</v>
      </c>
      <c r="D26" s="126"/>
      <c r="E26" s="32">
        <f>_xlfn.XLOOKUP(tblPosiciones[[#This Row],[Deportista]],tblPlanilla[Deportista],tblPlanilla[TOTAL])</f>
        <v>48.060185185185176</v>
      </c>
      <c r="F26" s="33">
        <v>19</v>
      </c>
      <c r="H26" s="134"/>
    </row>
    <row r="27" spans="1:8" x14ac:dyDescent="0.3">
      <c r="A27" s="30">
        <v>26</v>
      </c>
      <c r="B27" s="31" t="s">
        <v>157</v>
      </c>
      <c r="C27" s="31" t="s">
        <v>121</v>
      </c>
      <c r="D27" s="126"/>
      <c r="E27" s="32">
        <f>_xlfn.XLOOKUP(tblPosiciones[[#This Row],[Deportista]],tblPlanilla[Deportista],tblPlanilla[TOTAL])</f>
        <v>48.018518518518512</v>
      </c>
      <c r="F27" s="33">
        <v>20</v>
      </c>
      <c r="H27" s="134"/>
    </row>
    <row r="28" spans="1:8" x14ac:dyDescent="0.3">
      <c r="A28" s="30">
        <v>16</v>
      </c>
      <c r="B28" s="31" t="s">
        <v>150</v>
      </c>
      <c r="C28" s="31" t="s">
        <v>121</v>
      </c>
      <c r="D28" s="126"/>
      <c r="E28" s="32">
        <f>_xlfn.XLOOKUP(tblPosiciones[[#This Row],[Deportista]],tblPlanilla[Deportista],tblPlanilla[TOTAL])</f>
        <v>47.638888888888886</v>
      </c>
      <c r="F28" s="33">
        <v>21</v>
      </c>
      <c r="H28" s="134"/>
    </row>
    <row r="29" spans="1:8" x14ac:dyDescent="0.3">
      <c r="A29" s="30">
        <v>19</v>
      </c>
      <c r="B29" s="31" t="s">
        <v>153</v>
      </c>
      <c r="C29" s="31" t="s">
        <v>114</v>
      </c>
      <c r="D29" s="126"/>
      <c r="E29" s="32">
        <f>_xlfn.XLOOKUP(tblPosiciones[[#This Row],[Deportista]],tblPlanilla[Deportista],tblPlanilla[TOTAL])</f>
        <v>47.282407407407405</v>
      </c>
      <c r="F29" s="33">
        <v>22</v>
      </c>
      <c r="H29" s="134"/>
    </row>
    <row r="30" spans="1:8" x14ac:dyDescent="0.3">
      <c r="A30" s="30">
        <v>22</v>
      </c>
      <c r="B30" s="31" t="s">
        <v>155</v>
      </c>
      <c r="C30" s="31" t="s">
        <v>121</v>
      </c>
      <c r="D30" s="126"/>
      <c r="E30" s="32">
        <f>_xlfn.XLOOKUP(tblPosiciones[[#This Row],[Deportista]],tblPlanilla[Deportista],tblPlanilla[TOTAL])</f>
        <v>46.601851851851855</v>
      </c>
      <c r="F30" s="33">
        <v>23</v>
      </c>
      <c r="H30" s="134"/>
    </row>
    <row r="31" spans="1:8" x14ac:dyDescent="0.3">
      <c r="A31" s="30">
        <v>27</v>
      </c>
      <c r="B31" s="31" t="s">
        <v>126</v>
      </c>
      <c r="C31" s="31" t="s">
        <v>121</v>
      </c>
      <c r="D31" s="126"/>
      <c r="E31" s="32">
        <f>_xlfn.XLOOKUP(tblPosiciones[[#This Row],[Deportista]],tblPlanilla[Deportista],tblPlanilla[TOTAL])</f>
        <v>46.56481481481481</v>
      </c>
      <c r="F31" s="33">
        <v>24</v>
      </c>
      <c r="H31" s="134"/>
    </row>
    <row r="32" spans="1:8" x14ac:dyDescent="0.3">
      <c r="A32" s="30">
        <v>34</v>
      </c>
      <c r="B32" s="31" t="s">
        <v>162</v>
      </c>
      <c r="C32" s="31" t="s">
        <v>122</v>
      </c>
      <c r="D32" s="126"/>
      <c r="E32" s="32">
        <f>_xlfn.XLOOKUP(tblPosiciones[[#This Row],[Deportista]],tblPlanilla[Deportista],tblPlanilla[TOTAL])</f>
        <v>46.337962962962955</v>
      </c>
      <c r="F32" s="33">
        <v>25</v>
      </c>
      <c r="H32" s="134"/>
    </row>
    <row r="33" spans="1:8" x14ac:dyDescent="0.3">
      <c r="A33" s="30">
        <v>10</v>
      </c>
      <c r="B33" s="31" t="s">
        <v>144</v>
      </c>
      <c r="C33" s="31" t="s">
        <v>121</v>
      </c>
      <c r="D33" s="126"/>
      <c r="E33" s="32">
        <f>_xlfn.XLOOKUP(tblPosiciones[[#This Row],[Deportista]],tblPlanilla[Deportista],tblPlanilla[TOTAL])</f>
        <v>45.824074074074076</v>
      </c>
      <c r="F33" s="33">
        <v>26</v>
      </c>
      <c r="H33" s="134"/>
    </row>
    <row r="34" spans="1:8" x14ac:dyDescent="0.3">
      <c r="A34" s="30">
        <v>21</v>
      </c>
      <c r="B34" s="31" t="s">
        <v>154</v>
      </c>
      <c r="C34" s="31" t="s">
        <v>121</v>
      </c>
      <c r="D34" s="126"/>
      <c r="E34" s="32">
        <f>_xlfn.XLOOKUP(tblPosiciones[[#This Row],[Deportista]],tblPlanilla[Deportista],tblPlanilla[TOTAL])</f>
        <v>45.337962962962962</v>
      </c>
      <c r="F34" s="33">
        <v>27</v>
      </c>
      <c r="H34" s="134"/>
    </row>
    <row r="35" spans="1:8" x14ac:dyDescent="0.3">
      <c r="A35" s="30">
        <v>11</v>
      </c>
      <c r="B35" s="31" t="s">
        <v>145</v>
      </c>
      <c r="C35" s="31" t="s">
        <v>123</v>
      </c>
      <c r="D35" s="126"/>
      <c r="E35" s="32">
        <f>_xlfn.XLOOKUP(tblPosiciones[[#This Row],[Deportista]],tblPlanilla[Deportista],tblPlanilla[TOTAL])</f>
        <v>45.060185185185176</v>
      </c>
      <c r="F35" s="33">
        <v>28</v>
      </c>
      <c r="H35" s="134"/>
    </row>
    <row r="36" spans="1:8" x14ac:dyDescent="0.3">
      <c r="A36" s="30">
        <v>41</v>
      </c>
      <c r="B36" s="31" t="s">
        <v>169</v>
      </c>
      <c r="C36" s="31" t="s">
        <v>121</v>
      </c>
      <c r="D36" s="126"/>
      <c r="E36" s="32">
        <f>_xlfn.XLOOKUP(tblPosiciones[[#This Row],[Deportista]],tblPlanilla[Deportista],tblPlanilla[TOTAL])</f>
        <v>44.240740740740748</v>
      </c>
      <c r="F36" s="33">
        <v>29</v>
      </c>
      <c r="H36" s="134"/>
    </row>
    <row r="37" spans="1:8" x14ac:dyDescent="0.3">
      <c r="A37" s="30">
        <v>7</v>
      </c>
      <c r="B37" s="31" t="s">
        <v>141</v>
      </c>
      <c r="C37" s="31" t="s">
        <v>122</v>
      </c>
      <c r="D37" s="126"/>
      <c r="E37" s="32">
        <f>_xlfn.XLOOKUP(tblPosiciones[[#This Row],[Deportista]],tblPlanilla[Deportista],tblPlanilla[TOTAL])</f>
        <v>43.782407407407405</v>
      </c>
      <c r="F37" s="33">
        <v>30</v>
      </c>
      <c r="H37" s="134"/>
    </row>
    <row r="38" spans="1:8" x14ac:dyDescent="0.3">
      <c r="A38" s="30">
        <v>29</v>
      </c>
      <c r="B38" s="31" t="s">
        <v>159</v>
      </c>
      <c r="C38" s="31" t="s">
        <v>122</v>
      </c>
      <c r="D38" s="126"/>
      <c r="E38" s="32">
        <f>_xlfn.XLOOKUP(tblPosiciones[[#This Row],[Deportista]],tblPlanilla[Deportista],tblPlanilla[TOTAL])</f>
        <v>43.703703703703702</v>
      </c>
      <c r="F38" s="33">
        <v>31</v>
      </c>
      <c r="H38" s="134"/>
    </row>
    <row r="39" spans="1:8" x14ac:dyDescent="0.3">
      <c r="A39" s="30">
        <v>23</v>
      </c>
      <c r="B39" s="31" t="s">
        <v>125</v>
      </c>
      <c r="C39" s="31" t="s">
        <v>114</v>
      </c>
      <c r="D39" s="126"/>
      <c r="E39" s="32">
        <f>_xlfn.XLOOKUP(tblPosiciones[[#This Row],[Deportista]],tblPlanilla[Deportista],tblPlanilla[TOTAL])</f>
        <v>42.078703703703709</v>
      </c>
      <c r="F39" s="33">
        <v>32</v>
      </c>
      <c r="H39" s="134"/>
    </row>
    <row r="40" spans="1:8" x14ac:dyDescent="0.3">
      <c r="A40" s="30">
        <v>5</v>
      </c>
      <c r="B40" s="31" t="s">
        <v>139</v>
      </c>
      <c r="C40" s="31" t="s">
        <v>114</v>
      </c>
      <c r="D40" s="126"/>
      <c r="E40" s="32">
        <f>_xlfn.XLOOKUP(tblPosiciones[[#This Row],[Deportista]],tblPlanilla[Deportista],tblPlanilla[TOTAL])</f>
        <v>39.893518518518519</v>
      </c>
      <c r="F40" s="33">
        <v>33</v>
      </c>
      <c r="H40" s="134"/>
    </row>
    <row r="41" spans="1:8" x14ac:dyDescent="0.3">
      <c r="A41" s="30">
        <v>32</v>
      </c>
      <c r="B41" s="31" t="s">
        <v>136</v>
      </c>
      <c r="C41" s="31" t="s">
        <v>121</v>
      </c>
      <c r="D41" s="126"/>
      <c r="E41" s="32">
        <f>_xlfn.XLOOKUP(tblPosiciones[[#This Row],[Deportista]],tblPlanilla[Deportista],tblPlanilla[TOTAL])</f>
        <v>39.856481481481481</v>
      </c>
      <c r="F41" s="33">
        <v>34</v>
      </c>
      <c r="H41" s="134"/>
    </row>
    <row r="42" spans="1:8" x14ac:dyDescent="0.3">
      <c r="A42" s="30">
        <v>42</v>
      </c>
      <c r="B42" s="31" t="s">
        <v>131</v>
      </c>
      <c r="C42" s="31" t="s">
        <v>122</v>
      </c>
      <c r="D42" s="126"/>
      <c r="E42" s="32">
        <f>_xlfn.XLOOKUP(tblPosiciones[[#This Row],[Deportista]],tblPlanilla[Deportista],tblPlanilla[TOTAL])</f>
        <v>39.699074074074069</v>
      </c>
      <c r="F42" s="33">
        <v>35</v>
      </c>
      <c r="H42" s="134"/>
    </row>
    <row r="43" spans="1:8" x14ac:dyDescent="0.3">
      <c r="A43" s="30">
        <v>13</v>
      </c>
      <c r="B43" s="31" t="s">
        <v>147</v>
      </c>
      <c r="C43" s="31" t="s">
        <v>114</v>
      </c>
      <c r="D43" s="126"/>
      <c r="E43" s="32">
        <f>_xlfn.XLOOKUP(tblPosiciones[[#This Row],[Deportista]],tblPlanilla[Deportista],tblPlanilla[TOTAL])</f>
        <v>39.351851851851855</v>
      </c>
      <c r="F43" s="33">
        <v>36</v>
      </c>
      <c r="H43" s="134"/>
    </row>
    <row r="44" spans="1:8" x14ac:dyDescent="0.3">
      <c r="A44" s="30">
        <v>39</v>
      </c>
      <c r="B44" s="31" t="s">
        <v>167</v>
      </c>
      <c r="C44" s="31" t="s">
        <v>114</v>
      </c>
      <c r="D44" s="126"/>
      <c r="E44" s="32">
        <f>_xlfn.XLOOKUP(tblPosiciones[[#This Row],[Deportista]],tblPlanilla[Deportista],tblPlanilla[TOTAL])</f>
        <v>38.268518518518519</v>
      </c>
      <c r="F44" s="33">
        <v>37</v>
      </c>
      <c r="H44" s="134"/>
    </row>
    <row r="45" spans="1:8" x14ac:dyDescent="0.3">
      <c r="A45" s="30">
        <v>40</v>
      </c>
      <c r="B45" s="31" t="s">
        <v>168</v>
      </c>
      <c r="C45" s="31" t="s">
        <v>122</v>
      </c>
      <c r="D45" s="126"/>
      <c r="E45" s="32">
        <f>_xlfn.XLOOKUP(tblPosiciones[[#This Row],[Deportista]],tblPlanilla[Deportista],tblPlanilla[TOTAL])</f>
        <v>37.069444444444443</v>
      </c>
      <c r="F45" s="33">
        <v>38</v>
      </c>
      <c r="H45" s="134"/>
    </row>
    <row r="46" spans="1:8" x14ac:dyDescent="0.3">
      <c r="A46" s="30">
        <v>43</v>
      </c>
      <c r="B46" s="31" t="s">
        <v>170</v>
      </c>
      <c r="C46" s="31" t="s">
        <v>121</v>
      </c>
      <c r="D46" s="126"/>
      <c r="E46" s="32">
        <f>_xlfn.XLOOKUP(tblPosiciones[[#This Row],[Deportista]],tblPlanilla[Deportista],tblPlanilla[TOTAL])</f>
        <v>36.611111111111114</v>
      </c>
      <c r="F46" s="33">
        <v>39</v>
      </c>
      <c r="H46" s="134"/>
    </row>
    <row r="47" spans="1:8" x14ac:dyDescent="0.3">
      <c r="A47" s="30">
        <v>3</v>
      </c>
      <c r="B47" s="31" t="s">
        <v>137</v>
      </c>
      <c r="C47" s="31" t="s">
        <v>121</v>
      </c>
      <c r="D47" s="126"/>
      <c r="E47" s="32">
        <f>_xlfn.XLOOKUP(tblPosiciones[[#This Row],[Deportista]],tblPlanilla[Deportista],tblPlanilla[TOTAL])</f>
        <v>36.273148148148152</v>
      </c>
      <c r="F47" s="33">
        <v>40</v>
      </c>
      <c r="H47" s="134"/>
    </row>
    <row r="48" spans="1:8" x14ac:dyDescent="0.3">
      <c r="A48" s="30">
        <v>38</v>
      </c>
      <c r="B48" s="31" t="s">
        <v>166</v>
      </c>
      <c r="C48" s="31" t="s">
        <v>121</v>
      </c>
      <c r="D48" s="126"/>
      <c r="E48" s="32">
        <f>_xlfn.XLOOKUP(tblPosiciones[[#This Row],[Deportista]],tblPlanilla[Deportista],tblPlanilla[TOTAL])</f>
        <v>35.25925925925926</v>
      </c>
      <c r="F48" s="33">
        <v>41</v>
      </c>
    </row>
    <row r="49" spans="1:6" x14ac:dyDescent="0.3">
      <c r="A49" s="30">
        <v>1</v>
      </c>
      <c r="B49" s="31" t="s">
        <v>128</v>
      </c>
      <c r="C49" s="31" t="s">
        <v>122</v>
      </c>
      <c r="D49" s="126"/>
      <c r="E49" s="32">
        <f>_xlfn.XLOOKUP(tblPosiciones[[#This Row],[Deportista]],tblPlanilla[Deportista],tblPlanilla[TOTAL])</f>
        <v>24.532407407407408</v>
      </c>
      <c r="F49" s="33">
        <v>42</v>
      </c>
    </row>
    <row r="50" spans="1:6" x14ac:dyDescent="0.3">
      <c r="A50" s="30">
        <v>4</v>
      </c>
      <c r="B50" s="31" t="s">
        <v>138</v>
      </c>
      <c r="C50" s="31" t="s">
        <v>122</v>
      </c>
      <c r="D50" s="126"/>
      <c r="E50" s="32">
        <f>_xlfn.XLOOKUP(tblPosiciones[[#This Row],[Deportista]],tblPlanilla[Deportista],tblPlanilla[TOTAL])</f>
        <v>19.199074074074076</v>
      </c>
      <c r="F50" s="33">
        <v>43</v>
      </c>
    </row>
    <row r="51" spans="1:6" x14ac:dyDescent="0.3">
      <c r="A51" s="30">
        <v>20</v>
      </c>
      <c r="B51" s="31" t="s">
        <v>135</v>
      </c>
      <c r="C51" s="31" t="s">
        <v>122</v>
      </c>
      <c r="D51" s="126"/>
      <c r="E51" s="32">
        <f>_xlfn.XLOOKUP(tblPosiciones[[#This Row],[Deportista]],tblPlanilla[Deportista],tblPlanilla[TOTAL])</f>
        <v>14.305555555555555</v>
      </c>
      <c r="F51" s="33">
        <v>44</v>
      </c>
    </row>
    <row r="52" spans="1:6" x14ac:dyDescent="0.3">
      <c r="A52" s="30">
        <v>36</v>
      </c>
      <c r="B52" s="31" t="s">
        <v>164</v>
      </c>
      <c r="C52" s="31" t="s">
        <v>122</v>
      </c>
      <c r="D52" s="126"/>
      <c r="E52" s="32">
        <f>_xlfn.XLOOKUP(tblPosiciones[[#This Row],[Deportista]],tblPlanilla[Deportista],tblPlanilla[TOTAL])</f>
        <v>5.5555555555555554</v>
      </c>
      <c r="F52" s="33">
        <v>45</v>
      </c>
    </row>
    <row r="53" spans="1:6" x14ac:dyDescent="0.3">
      <c r="A53" s="190">
        <v>2</v>
      </c>
      <c r="B53" s="191" t="s">
        <v>132</v>
      </c>
      <c r="C53" s="191" t="s">
        <v>124</v>
      </c>
      <c r="D53" s="192"/>
      <c r="E53" s="193">
        <f>_xlfn.XLOOKUP(tblPosiciones[[#This Row],[Deportista]],tblPlanilla[Deportista],tblPlanilla[TOTAL])</f>
        <v>0</v>
      </c>
      <c r="F53" s="33">
        <v>46</v>
      </c>
    </row>
    <row r="54" spans="1:6" x14ac:dyDescent="0.3">
      <c r="A54" s="190">
        <v>12</v>
      </c>
      <c r="B54" s="191" t="s">
        <v>146</v>
      </c>
      <c r="C54" s="191" t="s">
        <v>122</v>
      </c>
      <c r="D54" s="192"/>
      <c r="E54" s="193">
        <f>_xlfn.XLOOKUP(tblPosiciones[[#This Row],[Deportista]],tblPlanilla[Deportista],tblPlanilla[TOTAL])</f>
        <v>0</v>
      </c>
      <c r="F54" s="33">
        <v>47</v>
      </c>
    </row>
  </sheetData>
  <dataConsolidate/>
  <mergeCells count="5">
    <mergeCell ref="A1:D1"/>
    <mergeCell ref="A2:D2"/>
    <mergeCell ref="A3:D3"/>
    <mergeCell ref="A4:D4"/>
    <mergeCell ref="A6:F6"/>
  </mergeCells>
  <printOptions horizontalCentered="1"/>
  <pageMargins left="0.15748031496062992" right="0.15748031496062992" top="0.39370078740157483" bottom="0.6692913385826772" header="0.31496062992125984" footer="0.31496062992125984"/>
  <pageSetup scale="88" orientation="portrait" errors="NA" r:id="rId1"/>
  <headerFooter>
    <oddFooter>&amp;L[&amp;A]&amp;RPágina &amp;P de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596D2-981A-4F77-875F-0CEB2B8EE5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Datos</vt:lpstr>
      <vt:lpstr>Registro</vt:lpstr>
      <vt:lpstr>Parametros Iniciales</vt:lpstr>
      <vt:lpstr>Planilla</vt:lpstr>
      <vt:lpstr>PuntajesFinales</vt:lpstr>
      <vt:lpstr>CantJueces</vt:lpstr>
      <vt:lpstr>Grupo_escogido</vt:lpstr>
      <vt:lpstr>HeadLin1</vt:lpstr>
      <vt:lpstr>HeadLin2</vt:lpstr>
      <vt:lpstr>HeadLin3</vt:lpstr>
      <vt:lpstr>HeadLin4</vt:lpstr>
      <vt:lpstr>IniTotales</vt:lpstr>
      <vt:lpstr>JuecesCalc</vt:lpstr>
      <vt:lpstr>JuecesDisponibles</vt:lpstr>
      <vt:lpstr>JuecesPanel</vt:lpstr>
      <vt:lpstr>JuecesPanel1</vt:lpstr>
      <vt:lpstr>JuecesPanel2</vt:lpstr>
      <vt:lpstr>Nombres</vt:lpstr>
      <vt:lpstr>Obligatoria1Cod</vt:lpstr>
      <vt:lpstr>Obligatoria1GD</vt:lpstr>
      <vt:lpstr>Obligatoria1Nom</vt:lpstr>
      <vt:lpstr>Obligatoria2Cod</vt:lpstr>
      <vt:lpstr>Obligatoria2GD</vt:lpstr>
      <vt:lpstr>Obligatoria2Nom</vt:lpstr>
      <vt:lpstr>ObligatoriaTipo1</vt:lpstr>
      <vt:lpstr>ObligatoriaTipo2</vt:lpstr>
      <vt:lpstr>Opcional1Cod</vt:lpstr>
      <vt:lpstr>Opcional1GD</vt:lpstr>
      <vt:lpstr>Opcional1Nom</vt:lpstr>
      <vt:lpstr>Opcional2Cod</vt:lpstr>
      <vt:lpstr>Opcional2GD</vt:lpstr>
      <vt:lpstr>Opcional2Nom</vt:lpstr>
      <vt:lpstr>OpcionalTipo1</vt:lpstr>
      <vt:lpstr>OpcionalTipo2</vt:lpstr>
      <vt:lpstr>OrdenSalida</vt:lpstr>
      <vt:lpstr>RegistroImpar</vt:lpstr>
      <vt:lpstr>RegistroNoCompite</vt:lpstr>
      <vt:lpstr>RegistroPar</vt:lpstr>
      <vt:lpstr>TituloCategoria</vt:lpstr>
      <vt:lpstr>Planilla!Títulos_a_imprimir</vt:lpstr>
      <vt:lpstr>TotalGD</vt:lpstr>
    </vt:vector>
  </TitlesOfParts>
  <Company>Indra Colombia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hmpercy</dc:creator>
  <cp:lastModifiedBy>Hugo M. Percy G.</cp:lastModifiedBy>
  <cp:lastPrinted>2022-04-23T14:29:48Z</cp:lastPrinted>
  <dcterms:created xsi:type="dcterms:W3CDTF">2011-09-09T15:52:10Z</dcterms:created>
  <dcterms:modified xsi:type="dcterms:W3CDTF">2022-04-27T13:43:04Z</dcterms:modified>
</cp:coreProperties>
</file>